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ickets" sheetId="2" state="visible" r:id="rId2"/>
    <sheet name="Outstanding" sheetId="3" state="visible" r:id="rId3"/>
  </sheets>
  <definedNames>
    <definedName name="_xlnm._FilterDatabase" localSheetId="1" hidden="1">'Tickets'!$A$1:$N$125</definedName>
    <definedName name="_xlnm._FilterDatabase" localSheetId="2" hidden="1">'Outstanding'!$A$4:$I$48</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00FFFFFF"/>
      <sz val="10"/>
    </font>
    <font>
      <name val="Arial"/>
      <sz val="10"/>
    </font>
    <font>
      <name val="Arial"/>
      <b val="1"/>
      <sz val="10"/>
    </font>
    <font>
      <name val="Arial"/>
      <b val="1"/>
      <color rgb="00B45F06"/>
      <sz val="10"/>
    </font>
    <font>
      <name val="Arial"/>
      <b val="1"/>
      <color rgb="0038761D"/>
      <sz val="10"/>
    </font>
    <font>
      <name val="Arial"/>
      <b val="1"/>
      <color rgb="00434343"/>
      <sz val="10"/>
    </font>
    <font>
      <name val="Arial"/>
      <b val="1"/>
      <color rgb="00990000"/>
      <sz val="10"/>
    </font>
    <font>
      <name val="Arial"/>
      <b val="1"/>
      <color rgb="000B5394"/>
      <sz val="10"/>
    </font>
    <font>
      <name val="Arial"/>
      <b val="1"/>
      <color rgb="00674EA7"/>
      <sz val="10"/>
    </font>
    <font>
      <name val="Arial"/>
      <b val="1"/>
      <color rgb="001F3864"/>
      <sz val="16"/>
    </font>
    <font>
      <name val="Arial"/>
      <i val="1"/>
      <color rgb="00595959"/>
      <sz val="9"/>
    </font>
    <font>
      <name val="Arial"/>
      <b val="1"/>
      <color rgb="001F3864"/>
      <sz val="11"/>
    </font>
  </fonts>
  <fills count="9">
    <fill>
      <patternFill/>
    </fill>
    <fill>
      <patternFill patternType="gray125"/>
    </fill>
    <fill>
      <patternFill patternType="solid">
        <fgColor rgb="001F3864"/>
      </patternFill>
    </fill>
    <fill>
      <patternFill patternType="solid">
        <fgColor rgb="00FCE5CD"/>
      </patternFill>
    </fill>
    <fill>
      <patternFill patternType="solid">
        <fgColor rgb="00D9EAD3"/>
      </patternFill>
    </fill>
    <fill>
      <patternFill patternType="solid">
        <fgColor rgb="00E8EAED"/>
      </patternFill>
    </fill>
    <fill>
      <patternFill patternType="solid">
        <fgColor rgb="00F4CCCC"/>
      </patternFill>
    </fill>
    <fill>
      <patternFill patternType="solid">
        <fgColor rgb="00CFE2F3"/>
      </patternFill>
    </fill>
    <fill>
      <patternFill patternType="solid">
        <fgColor rgb="00D9D2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center" vertical="center"/>
    </xf>
    <xf numFmtId="0" fontId="3" fillId="0" borderId="0" pivotButton="0" quotePrefix="0" xfId="0"/>
    <xf numFmtId="0" fontId="3" fillId="0" borderId="1" applyAlignment="1" pivotButton="0" quotePrefix="0" xfId="0">
      <alignment horizontal="center"/>
    </xf>
    <xf numFmtId="0" fontId="2" fillId="0" borderId="0" pivotButton="0" quotePrefix="0" xfId="0"/>
    <xf numFmtId="0" fontId="2" fillId="0" borderId="1" applyAlignment="1" pivotButton="0" quotePrefix="0" xfId="0">
      <alignment horizontal="center"/>
    </xf>
    <xf numFmtId="164" fontId="2" fillId="0" borderId="1" applyAlignment="1" pivotButton="0" quotePrefix="0" xfId="0">
      <alignment horizontal="center"/>
    </xf>
    <xf numFmtId="164" fontId="3" fillId="0" borderId="1" applyAlignment="1" pivotButton="0" quotePrefix="0" xfId="0">
      <alignment horizontal="center"/>
    </xf>
    <xf numFmtId="0" fontId="5" fillId="4" borderId="1" applyAlignment="1" pivotButton="0" quotePrefix="0" xfId="0">
      <alignment horizontal="center" vertical="center"/>
    </xf>
    <xf numFmtId="0" fontId="2" fillId="0" borderId="0" applyAlignment="1" pivotButton="0" quotePrefix="0" xfId="0">
      <alignment vertical="center" wrapText="1"/>
    </xf>
    <xf numFmtId="0" fontId="4" fillId="3" borderId="1" applyAlignment="1" pivotButton="0" quotePrefix="0" xfId="0">
      <alignment horizontal="center" vertical="center"/>
    </xf>
    <xf numFmtId="0" fontId="6" fillId="5" borderId="1" applyAlignment="1" pivotButton="0" quotePrefix="0" xfId="0">
      <alignment horizontal="center" vertical="center"/>
    </xf>
    <xf numFmtId="0" fontId="9" fillId="8" borderId="1" applyAlignment="1" pivotButton="0" quotePrefix="0" xfId="0">
      <alignment horizontal="center" vertical="center"/>
    </xf>
    <xf numFmtId="0" fontId="8" fillId="7" borderId="1" applyAlignment="1" pivotButton="0" quotePrefix="0" xfId="0">
      <alignment horizontal="center" vertical="center"/>
    </xf>
    <xf numFmtId="0" fontId="7" fillId="6" borderId="1" applyAlignment="1" pivotButton="0" quotePrefix="0" xfId="0">
      <alignment horizontal="center" vertical="center"/>
    </xf>
    <xf numFmtId="0" fontId="11" fillId="0" borderId="0"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wrapText="1"/>
    </xf>
    <xf numFmtId="0" fontId="4" fillId="3" borderId="1" applyAlignment="1" pivotButton="0" quotePrefix="0" xfId="0">
      <alignment horizontal="center" vertical="top"/>
    </xf>
    <xf numFmtId="0" fontId="2" fillId="0" borderId="1" applyAlignment="1" pivotButton="0" quotePrefix="0" xfId="0">
      <alignment vertical="top" wrapText="1"/>
    </xf>
    <xf numFmtId="0" fontId="5" fillId="4" borderId="1" applyAlignment="1" pivotButton="0" quotePrefix="0" xfId="0">
      <alignment horizontal="center" vertical="top"/>
    </xf>
    <xf numFmtId="0" fontId="6" fillId="5" borderId="1" applyAlignment="1" pivotButton="0" quotePrefix="0" xfId="0">
      <alignment horizontal="center" vertical="top"/>
    </xf>
    <xf numFmtId="0" fontId="7" fillId="6" borderId="1" applyAlignment="1" pivotButton="0" quotePrefix="0" xfId="0">
      <alignment horizontal="center" vertical="top"/>
    </xf>
    <xf numFmtId="0" fontId="8" fillId="7" borderId="1" applyAlignment="1" pivotButton="0" quotePrefix="0" xfId="0">
      <alignment horizontal="center" vertical="top"/>
    </xf>
    <xf numFmtId="0" fontId="9"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6" customWidth="1" min="9" max="9"/>
  </cols>
  <sheetData>
    <row r="1">
      <c r="A1" s="1" t="inlineStr">
        <is>
          <t>legalworkflows delivery plan - status</t>
        </is>
      </c>
    </row>
    <row r="2">
      <c r="A2" s="2" t="inlineStr">
        <is>
          <t>Every count here is a live COUNTIF/COUNTIFS over the Tickets sheet. Change a status there and these follow.</t>
        </is>
      </c>
    </row>
    <row r="3">
      <c r="A3" s="2" t="inlineStr">
        <is>
          <t>Sources: docs/delivery-plan/backlog.csv for the register, docs/delivery-plan/v2/status.csv for the statuses. Rebuild with docs/delivery-plan/v2/build-status-workbook.py.</t>
        </is>
      </c>
    </row>
    <row r="5">
      <c r="A5" s="3" t="inlineStr">
        <is>
          <t>Headline</t>
        </is>
      </c>
    </row>
    <row r="6" ht="20" customHeight="1">
      <c r="A6" s="4" t="inlineStr">
        <is>
          <t>Measure</t>
        </is>
      </c>
      <c r="B6" s="5" t="inlineStr">
        <is>
          <t>Tickets</t>
        </is>
      </c>
      <c r="C6" s="5" t="inlineStr">
        <is>
          <t>Share</t>
        </is>
      </c>
    </row>
    <row r="7">
      <c r="A7" s="6" t="inlineStr">
        <is>
          <t>Total tickets</t>
        </is>
      </c>
      <c r="B7" s="7">
        <f>COUNTA(Tickets!$E$2:$E$125)</f>
        <v/>
      </c>
    </row>
    <row r="8">
      <c r="A8" s="8" t="inlineStr">
        <is>
          <t>Complete (Done)</t>
        </is>
      </c>
      <c r="B8" s="9">
        <f>COUNTIF(Tickets!$E$2:$E$125,"Done")</f>
        <v/>
      </c>
      <c r="C8" s="10">
        <f>IFERROR(B8/$B$7,0)</f>
        <v/>
      </c>
    </row>
    <row r="9">
      <c r="A9" s="8" t="inlineStr">
        <is>
          <t>Active (In progress)</t>
        </is>
      </c>
      <c r="B9" s="9">
        <f>COUNTIF(Tickets!$E$2:$E$125,"In progress")</f>
        <v/>
      </c>
      <c r="C9" s="10">
        <f>IFERROR(B9/$B$7,0)</f>
        <v/>
      </c>
    </row>
    <row r="10">
      <c r="A10" s="8" t="inlineStr">
        <is>
          <t>Remaining (To do)</t>
        </is>
      </c>
      <c r="B10" s="9">
        <f>COUNTIF(Tickets!$E$2:$E$125,"To do")</f>
        <v/>
      </c>
      <c r="C10" s="10">
        <f>IFERROR(B10/$B$7,0)</f>
        <v/>
      </c>
    </row>
    <row r="11">
      <c r="A11" s="8" t="inlineStr">
        <is>
          <t>Deferred</t>
        </is>
      </c>
      <c r="B11" s="9">
        <f>COUNTIF(Tickets!$E$2:$E$125,"Deferred")</f>
        <v/>
      </c>
      <c r="C11" s="10">
        <f>IFERROR(B11/$B$7,0)</f>
        <v/>
      </c>
    </row>
    <row r="12">
      <c r="A12" s="8" t="inlineStr">
        <is>
          <t>Closed without delivery</t>
        </is>
      </c>
      <c r="B12" s="9">
        <f>COUNTIF(Tickets!$E$2:$E$125,"Superseded")+COUNTIF(Tickets!$E$2:$E$125,"Won't do")</f>
        <v/>
      </c>
      <c r="C12" s="10">
        <f>IFERROR(B12/$B$7,0)</f>
        <v/>
      </c>
    </row>
    <row r="14">
      <c r="A14" s="3" t="inlineStr">
        <is>
          <t>By phase</t>
        </is>
      </c>
    </row>
    <row r="15" ht="20" customHeight="1">
      <c r="A15" s="4" t="inlineStr">
        <is>
          <t>Phase</t>
        </is>
      </c>
      <c r="B15" s="5" t="inlineStr">
        <is>
          <t>Done</t>
        </is>
      </c>
      <c r="C15" s="5" t="inlineStr">
        <is>
          <t>In progress</t>
        </is>
      </c>
      <c r="D15" s="5" t="inlineStr">
        <is>
          <t>To do</t>
        </is>
      </c>
      <c r="E15" s="5" t="inlineStr">
        <is>
          <t>Deferred</t>
        </is>
      </c>
      <c r="F15" s="5" t="inlineStr">
        <is>
          <t>Superseded</t>
        </is>
      </c>
      <c r="G15" s="5" t="inlineStr">
        <is>
          <t>Won't do</t>
        </is>
      </c>
      <c r="H15" s="5" t="inlineStr">
        <is>
          <t>Total</t>
        </is>
      </c>
      <c r="I15" s="5" t="inlineStr">
        <is>
          <t>% done</t>
        </is>
      </c>
    </row>
    <row r="16">
      <c r="A16" s="8" t="inlineStr">
        <is>
          <t>Phase 1 - Extraction</t>
        </is>
      </c>
      <c r="B16" s="9">
        <f>COUNTIFS(Tickets!$G$2:$G$125,$A16,Tickets!$E$2:$E$125,B$15)</f>
        <v/>
      </c>
      <c r="C16" s="9">
        <f>COUNTIFS(Tickets!$G$2:$G$125,$A16,Tickets!$E$2:$E$125,C$15)</f>
        <v/>
      </c>
      <c r="D16" s="9">
        <f>COUNTIFS(Tickets!$G$2:$G$125,$A16,Tickets!$E$2:$E$125,D$15)</f>
        <v/>
      </c>
      <c r="E16" s="9">
        <f>COUNTIFS(Tickets!$G$2:$G$125,$A16,Tickets!$E$2:$E$125,E$15)</f>
        <v/>
      </c>
      <c r="F16" s="9">
        <f>COUNTIFS(Tickets!$G$2:$G$125,$A16,Tickets!$E$2:$E$125,F$15)</f>
        <v/>
      </c>
      <c r="G16" s="9">
        <f>COUNTIFS(Tickets!$G$2:$G$125,$A16,Tickets!$E$2:$E$125,G$15)</f>
        <v/>
      </c>
      <c r="H16" s="7">
        <f>SUM(B16:G16)</f>
        <v/>
      </c>
      <c r="I16" s="10">
        <f>IFERROR(B16/H16,0)</f>
        <v/>
      </c>
    </row>
    <row r="17">
      <c r="A17" s="8" t="inlineStr">
        <is>
          <t>Phase 2 - Infrastructure</t>
        </is>
      </c>
      <c r="B17" s="9">
        <f>COUNTIFS(Tickets!$G$2:$G$125,$A17,Tickets!$E$2:$E$125,B$15)</f>
        <v/>
      </c>
      <c r="C17" s="9">
        <f>COUNTIFS(Tickets!$G$2:$G$125,$A17,Tickets!$E$2:$E$125,C$15)</f>
        <v/>
      </c>
      <c r="D17" s="9">
        <f>COUNTIFS(Tickets!$G$2:$G$125,$A17,Tickets!$E$2:$E$125,D$15)</f>
        <v/>
      </c>
      <c r="E17" s="9">
        <f>COUNTIFS(Tickets!$G$2:$G$125,$A17,Tickets!$E$2:$E$125,E$15)</f>
        <v/>
      </c>
      <c r="F17" s="9">
        <f>COUNTIFS(Tickets!$G$2:$G$125,$A17,Tickets!$E$2:$E$125,F$15)</f>
        <v/>
      </c>
      <c r="G17" s="9">
        <f>COUNTIFS(Tickets!$G$2:$G$125,$A17,Tickets!$E$2:$E$125,G$15)</f>
        <v/>
      </c>
      <c r="H17" s="7">
        <f>SUM(B17:G17)</f>
        <v/>
      </c>
      <c r="I17" s="10">
        <f>IFERROR(B17/H17,0)</f>
        <v/>
      </c>
    </row>
    <row r="18">
      <c r="A18" s="8" t="inlineStr">
        <is>
          <t>Phase 3 - Production Ready</t>
        </is>
      </c>
      <c r="B18" s="9">
        <f>COUNTIFS(Tickets!$G$2:$G$125,$A18,Tickets!$E$2:$E$125,B$15)</f>
        <v/>
      </c>
      <c r="C18" s="9">
        <f>COUNTIFS(Tickets!$G$2:$G$125,$A18,Tickets!$E$2:$E$125,C$15)</f>
        <v/>
      </c>
      <c r="D18" s="9">
        <f>COUNTIFS(Tickets!$G$2:$G$125,$A18,Tickets!$E$2:$E$125,D$15)</f>
        <v/>
      </c>
      <c r="E18" s="9">
        <f>COUNTIFS(Tickets!$G$2:$G$125,$A18,Tickets!$E$2:$E$125,E$15)</f>
        <v/>
      </c>
      <c r="F18" s="9">
        <f>COUNTIFS(Tickets!$G$2:$G$125,$A18,Tickets!$E$2:$E$125,F$15)</f>
        <v/>
      </c>
      <c r="G18" s="9">
        <f>COUNTIFS(Tickets!$G$2:$G$125,$A18,Tickets!$E$2:$E$125,G$15)</f>
        <v/>
      </c>
      <c r="H18" s="7">
        <f>SUM(B18:G18)</f>
        <v/>
      </c>
      <c r="I18" s="10">
        <f>IFERROR(B18/H18,0)</f>
        <v/>
      </c>
    </row>
    <row r="19">
      <c r="A19" s="8" t="inlineStr">
        <is>
          <t>Phase 4 - Self-hosted platform</t>
        </is>
      </c>
      <c r="B19" s="9">
        <f>COUNTIFS(Tickets!$G$2:$G$125,$A19,Tickets!$E$2:$E$125,B$15)</f>
        <v/>
      </c>
      <c r="C19" s="9">
        <f>COUNTIFS(Tickets!$G$2:$G$125,$A19,Tickets!$E$2:$E$125,C$15)</f>
        <v/>
      </c>
      <c r="D19" s="9">
        <f>COUNTIFS(Tickets!$G$2:$G$125,$A19,Tickets!$E$2:$E$125,D$15)</f>
        <v/>
      </c>
      <c r="E19" s="9">
        <f>COUNTIFS(Tickets!$G$2:$G$125,$A19,Tickets!$E$2:$E$125,E$15)</f>
        <v/>
      </c>
      <c r="F19" s="9">
        <f>COUNTIFS(Tickets!$G$2:$G$125,$A19,Tickets!$E$2:$E$125,F$15)</f>
        <v/>
      </c>
      <c r="G19" s="9">
        <f>COUNTIFS(Tickets!$G$2:$G$125,$A19,Tickets!$E$2:$E$125,G$15)</f>
        <v/>
      </c>
      <c r="H19" s="7">
        <f>SUM(B19:G19)</f>
        <v/>
      </c>
      <c r="I19" s="10">
        <f>IFERROR(B19/H19,0)</f>
        <v/>
      </c>
    </row>
    <row r="20">
      <c r="A20" s="6" t="inlineStr">
        <is>
          <t>All</t>
        </is>
      </c>
      <c r="B20" s="7">
        <f>SUM(B16:B19)</f>
        <v/>
      </c>
      <c r="C20" s="7">
        <f>SUM(C16:C19)</f>
        <v/>
      </c>
      <c r="D20" s="7">
        <f>SUM(D16:D19)</f>
        <v/>
      </c>
      <c r="E20" s="7">
        <f>SUM(E16:E19)</f>
        <v/>
      </c>
      <c r="F20" s="7">
        <f>SUM(F16:F19)</f>
        <v/>
      </c>
      <c r="G20" s="7">
        <f>SUM(G16:G19)</f>
        <v/>
      </c>
      <c r="H20" s="7">
        <f>SUM(H16:H19)</f>
        <v/>
      </c>
      <c r="I20" s="11">
        <f>IFERROR(B20/H20,0)</f>
        <v/>
      </c>
    </row>
    <row r="22">
      <c r="A22" s="3" t="inlineStr">
        <is>
          <t>By sprint</t>
        </is>
      </c>
    </row>
    <row r="23" ht="20" customHeight="1">
      <c r="A23" s="4" t="inlineStr">
        <is>
          <t>Sprint</t>
        </is>
      </c>
      <c r="B23" s="5" t="inlineStr">
        <is>
          <t>Done</t>
        </is>
      </c>
      <c r="C23" s="5" t="inlineStr">
        <is>
          <t>In progress</t>
        </is>
      </c>
      <c r="D23" s="5" t="inlineStr">
        <is>
          <t>To do</t>
        </is>
      </c>
      <c r="E23" s="5" t="inlineStr">
        <is>
          <t>Deferred</t>
        </is>
      </c>
      <c r="F23" s="5" t="inlineStr">
        <is>
          <t>Superseded</t>
        </is>
      </c>
      <c r="G23" s="5" t="inlineStr">
        <is>
          <t>Won't do</t>
        </is>
      </c>
      <c r="H23" s="5" t="inlineStr">
        <is>
          <t>Total</t>
        </is>
      </c>
      <c r="I23" s="5" t="inlineStr">
        <is>
          <t>% done</t>
        </is>
      </c>
    </row>
    <row r="24">
      <c r="A24" s="8" t="inlineStr">
        <is>
          <t>Sprint 1</t>
        </is>
      </c>
      <c r="B24" s="9">
        <f>COUNTIFS(Tickets!$H$2:$H$125,$A24,Tickets!$E$2:$E$125,B$23)</f>
        <v/>
      </c>
      <c r="C24" s="9">
        <f>COUNTIFS(Tickets!$H$2:$H$125,$A24,Tickets!$E$2:$E$125,C$23)</f>
        <v/>
      </c>
      <c r="D24" s="9">
        <f>COUNTIFS(Tickets!$H$2:$H$125,$A24,Tickets!$E$2:$E$125,D$23)</f>
        <v/>
      </c>
      <c r="E24" s="9">
        <f>COUNTIFS(Tickets!$H$2:$H$125,$A24,Tickets!$E$2:$E$125,E$23)</f>
        <v/>
      </c>
      <c r="F24" s="9">
        <f>COUNTIFS(Tickets!$H$2:$H$125,$A24,Tickets!$E$2:$E$125,F$23)</f>
        <v/>
      </c>
      <c r="G24" s="9">
        <f>COUNTIFS(Tickets!$H$2:$H$125,$A24,Tickets!$E$2:$E$125,G$23)</f>
        <v/>
      </c>
      <c r="H24" s="7">
        <f>SUM(B24:G24)</f>
        <v/>
      </c>
      <c r="I24" s="10">
        <f>IFERROR(B24/H24,0)</f>
        <v/>
      </c>
    </row>
    <row r="25">
      <c r="A25" s="8" t="inlineStr">
        <is>
          <t>Sprint 2</t>
        </is>
      </c>
      <c r="B25" s="9">
        <f>COUNTIFS(Tickets!$H$2:$H$125,$A25,Tickets!$E$2:$E$125,B$23)</f>
        <v/>
      </c>
      <c r="C25" s="9">
        <f>COUNTIFS(Tickets!$H$2:$H$125,$A25,Tickets!$E$2:$E$125,C$23)</f>
        <v/>
      </c>
      <c r="D25" s="9">
        <f>COUNTIFS(Tickets!$H$2:$H$125,$A25,Tickets!$E$2:$E$125,D$23)</f>
        <v/>
      </c>
      <c r="E25" s="9">
        <f>COUNTIFS(Tickets!$H$2:$H$125,$A25,Tickets!$E$2:$E$125,E$23)</f>
        <v/>
      </c>
      <c r="F25" s="9">
        <f>COUNTIFS(Tickets!$H$2:$H$125,$A25,Tickets!$E$2:$E$125,F$23)</f>
        <v/>
      </c>
      <c r="G25" s="9">
        <f>COUNTIFS(Tickets!$H$2:$H$125,$A25,Tickets!$E$2:$E$125,G$23)</f>
        <v/>
      </c>
      <c r="H25" s="7">
        <f>SUM(B25:G25)</f>
        <v/>
      </c>
      <c r="I25" s="10">
        <f>IFERROR(B25/H25,0)</f>
        <v/>
      </c>
    </row>
    <row r="26">
      <c r="A26" s="8" t="inlineStr">
        <is>
          <t>Sprint 3</t>
        </is>
      </c>
      <c r="B26" s="9">
        <f>COUNTIFS(Tickets!$H$2:$H$125,$A26,Tickets!$E$2:$E$125,B$23)</f>
        <v/>
      </c>
      <c r="C26" s="9">
        <f>COUNTIFS(Tickets!$H$2:$H$125,$A26,Tickets!$E$2:$E$125,C$23)</f>
        <v/>
      </c>
      <c r="D26" s="9">
        <f>COUNTIFS(Tickets!$H$2:$H$125,$A26,Tickets!$E$2:$E$125,D$23)</f>
        <v/>
      </c>
      <c r="E26" s="9">
        <f>COUNTIFS(Tickets!$H$2:$H$125,$A26,Tickets!$E$2:$E$125,E$23)</f>
        <v/>
      </c>
      <c r="F26" s="9">
        <f>COUNTIFS(Tickets!$H$2:$H$125,$A26,Tickets!$E$2:$E$125,F$23)</f>
        <v/>
      </c>
      <c r="G26" s="9">
        <f>COUNTIFS(Tickets!$H$2:$H$125,$A26,Tickets!$E$2:$E$125,G$23)</f>
        <v/>
      </c>
      <c r="H26" s="7">
        <f>SUM(B26:G26)</f>
        <v/>
      </c>
      <c r="I26" s="10">
        <f>IFERROR(B26/H26,0)</f>
        <v/>
      </c>
    </row>
    <row r="27">
      <c r="A27" s="8" t="inlineStr">
        <is>
          <t>Sprint 4</t>
        </is>
      </c>
      <c r="B27" s="9">
        <f>COUNTIFS(Tickets!$H$2:$H$125,$A27,Tickets!$E$2:$E$125,B$23)</f>
        <v/>
      </c>
      <c r="C27" s="9">
        <f>COUNTIFS(Tickets!$H$2:$H$125,$A27,Tickets!$E$2:$E$125,C$23)</f>
        <v/>
      </c>
      <c r="D27" s="9">
        <f>COUNTIFS(Tickets!$H$2:$H$125,$A27,Tickets!$E$2:$E$125,D$23)</f>
        <v/>
      </c>
      <c r="E27" s="9">
        <f>COUNTIFS(Tickets!$H$2:$H$125,$A27,Tickets!$E$2:$E$125,E$23)</f>
        <v/>
      </c>
      <c r="F27" s="9">
        <f>COUNTIFS(Tickets!$H$2:$H$125,$A27,Tickets!$E$2:$E$125,F$23)</f>
        <v/>
      </c>
      <c r="G27" s="9">
        <f>COUNTIFS(Tickets!$H$2:$H$125,$A27,Tickets!$E$2:$E$125,G$23)</f>
        <v/>
      </c>
      <c r="H27" s="7">
        <f>SUM(B27:G27)</f>
        <v/>
      </c>
      <c r="I27" s="10">
        <f>IFERROR(B27/H27,0)</f>
        <v/>
      </c>
    </row>
    <row r="28">
      <c r="A28" s="8" t="inlineStr">
        <is>
          <t>Sprint 5</t>
        </is>
      </c>
      <c r="B28" s="9">
        <f>COUNTIFS(Tickets!$H$2:$H$125,$A28,Tickets!$E$2:$E$125,B$23)</f>
        <v/>
      </c>
      <c r="C28" s="9">
        <f>COUNTIFS(Tickets!$H$2:$H$125,$A28,Tickets!$E$2:$E$125,C$23)</f>
        <v/>
      </c>
      <c r="D28" s="9">
        <f>COUNTIFS(Tickets!$H$2:$H$125,$A28,Tickets!$E$2:$E$125,D$23)</f>
        <v/>
      </c>
      <c r="E28" s="9">
        <f>COUNTIFS(Tickets!$H$2:$H$125,$A28,Tickets!$E$2:$E$125,E$23)</f>
        <v/>
      </c>
      <c r="F28" s="9">
        <f>COUNTIFS(Tickets!$H$2:$H$125,$A28,Tickets!$E$2:$E$125,F$23)</f>
        <v/>
      </c>
      <c r="G28" s="9">
        <f>COUNTIFS(Tickets!$H$2:$H$125,$A28,Tickets!$E$2:$E$125,G$23)</f>
        <v/>
      </c>
      <c r="H28" s="7">
        <f>SUM(B28:G28)</f>
        <v/>
      </c>
      <c r="I28" s="10">
        <f>IFERROR(B28/H28,0)</f>
        <v/>
      </c>
    </row>
    <row r="29">
      <c r="A29" s="8" t="inlineStr">
        <is>
          <t>Sprint 6</t>
        </is>
      </c>
      <c r="B29" s="9">
        <f>COUNTIFS(Tickets!$H$2:$H$125,$A29,Tickets!$E$2:$E$125,B$23)</f>
        <v/>
      </c>
      <c r="C29" s="9">
        <f>COUNTIFS(Tickets!$H$2:$H$125,$A29,Tickets!$E$2:$E$125,C$23)</f>
        <v/>
      </c>
      <c r="D29" s="9">
        <f>COUNTIFS(Tickets!$H$2:$H$125,$A29,Tickets!$E$2:$E$125,D$23)</f>
        <v/>
      </c>
      <c r="E29" s="9">
        <f>COUNTIFS(Tickets!$H$2:$H$125,$A29,Tickets!$E$2:$E$125,E$23)</f>
        <v/>
      </c>
      <c r="F29" s="9">
        <f>COUNTIFS(Tickets!$H$2:$H$125,$A29,Tickets!$E$2:$E$125,F$23)</f>
        <v/>
      </c>
      <c r="G29" s="9">
        <f>COUNTIFS(Tickets!$H$2:$H$125,$A29,Tickets!$E$2:$E$125,G$23)</f>
        <v/>
      </c>
      <c r="H29" s="7">
        <f>SUM(B29:G29)</f>
        <v/>
      </c>
      <c r="I29" s="10">
        <f>IFERROR(B29/H29,0)</f>
        <v/>
      </c>
    </row>
    <row r="30">
      <c r="A30" s="8" t="inlineStr">
        <is>
          <t>Sprint 7</t>
        </is>
      </c>
      <c r="B30" s="9">
        <f>COUNTIFS(Tickets!$H$2:$H$125,$A30,Tickets!$E$2:$E$125,B$23)</f>
        <v/>
      </c>
      <c r="C30" s="9">
        <f>COUNTIFS(Tickets!$H$2:$H$125,$A30,Tickets!$E$2:$E$125,C$23)</f>
        <v/>
      </c>
      <c r="D30" s="9">
        <f>COUNTIFS(Tickets!$H$2:$H$125,$A30,Tickets!$E$2:$E$125,D$23)</f>
        <v/>
      </c>
      <c r="E30" s="9">
        <f>COUNTIFS(Tickets!$H$2:$H$125,$A30,Tickets!$E$2:$E$125,E$23)</f>
        <v/>
      </c>
      <c r="F30" s="9">
        <f>COUNTIFS(Tickets!$H$2:$H$125,$A30,Tickets!$E$2:$E$125,F$23)</f>
        <v/>
      </c>
      <c r="G30" s="9">
        <f>COUNTIFS(Tickets!$H$2:$H$125,$A30,Tickets!$E$2:$E$125,G$23)</f>
        <v/>
      </c>
      <c r="H30" s="7">
        <f>SUM(B30:G30)</f>
        <v/>
      </c>
      <c r="I30" s="10">
        <f>IFERROR(B30/H30,0)</f>
        <v/>
      </c>
    </row>
    <row r="31">
      <c r="A31" s="6" t="inlineStr">
        <is>
          <t>All</t>
        </is>
      </c>
      <c r="B31" s="7">
        <f>SUM(B24:B30)</f>
        <v/>
      </c>
      <c r="C31" s="7">
        <f>SUM(C24:C30)</f>
        <v/>
      </c>
      <c r="D31" s="7">
        <f>SUM(D24:D30)</f>
        <v/>
      </c>
      <c r="E31" s="7">
        <f>SUM(E24:E30)</f>
        <v/>
      </c>
      <c r="F31" s="7">
        <f>SUM(F24:F30)</f>
        <v/>
      </c>
      <c r="G31" s="7">
        <f>SUM(G24:G30)</f>
        <v/>
      </c>
      <c r="H31" s="7">
        <f>SUM(H24:H30)</f>
        <v/>
      </c>
      <c r="I31" s="11">
        <f>IFERROR(B31/H31,0)</f>
        <v/>
      </c>
    </row>
    <row r="33">
      <c r="A33" s="3" t="inlineStr">
        <is>
          <t>By component</t>
        </is>
      </c>
    </row>
    <row r="34" ht="20" customHeight="1">
      <c r="A34" s="4" t="inlineStr">
        <is>
          <t>Component</t>
        </is>
      </c>
      <c r="B34" s="5" t="inlineStr">
        <is>
          <t>Done</t>
        </is>
      </c>
      <c r="C34" s="5" t="inlineStr">
        <is>
          <t>In progress</t>
        </is>
      </c>
      <c r="D34" s="5" t="inlineStr">
        <is>
          <t>To do</t>
        </is>
      </c>
      <c r="E34" s="5" t="inlineStr">
        <is>
          <t>Deferred</t>
        </is>
      </c>
      <c r="F34" s="5" t="inlineStr">
        <is>
          <t>Superseded</t>
        </is>
      </c>
      <c r="G34" s="5" t="inlineStr">
        <is>
          <t>Won't do</t>
        </is>
      </c>
      <c r="H34" s="5" t="inlineStr">
        <is>
          <t>Total</t>
        </is>
      </c>
      <c r="I34" s="5" t="inlineStr">
        <is>
          <t>% done</t>
        </is>
      </c>
    </row>
    <row r="35">
      <c r="A35" s="8" t="inlineStr">
        <is>
          <t>Platform</t>
        </is>
      </c>
      <c r="B35" s="9">
        <f>COUNTIFS(Tickets!$I$2:$I$125,$A35,Tickets!$E$2:$E$125,B$34)</f>
        <v/>
      </c>
      <c r="C35" s="9">
        <f>COUNTIFS(Tickets!$I$2:$I$125,$A35,Tickets!$E$2:$E$125,C$34)</f>
        <v/>
      </c>
      <c r="D35" s="9">
        <f>COUNTIFS(Tickets!$I$2:$I$125,$A35,Tickets!$E$2:$E$125,D$34)</f>
        <v/>
      </c>
      <c r="E35" s="9">
        <f>COUNTIFS(Tickets!$I$2:$I$125,$A35,Tickets!$E$2:$E$125,E$34)</f>
        <v/>
      </c>
      <c r="F35" s="9">
        <f>COUNTIFS(Tickets!$I$2:$I$125,$A35,Tickets!$E$2:$E$125,F$34)</f>
        <v/>
      </c>
      <c r="G35" s="9">
        <f>COUNTIFS(Tickets!$I$2:$I$125,$A35,Tickets!$E$2:$E$125,G$34)</f>
        <v/>
      </c>
      <c r="H35" s="7">
        <f>SUM(B35:G35)</f>
        <v/>
      </c>
      <c r="I35" s="10">
        <f>IFERROR(B35/H35,0)</f>
        <v/>
      </c>
    </row>
    <row r="36">
      <c r="A36" s="8" t="inlineStr">
        <is>
          <t>Backend</t>
        </is>
      </c>
      <c r="B36" s="9">
        <f>COUNTIFS(Tickets!$I$2:$I$125,$A36,Tickets!$E$2:$E$125,B$34)</f>
        <v/>
      </c>
      <c r="C36" s="9">
        <f>COUNTIFS(Tickets!$I$2:$I$125,$A36,Tickets!$E$2:$E$125,C$34)</f>
        <v/>
      </c>
      <c r="D36" s="9">
        <f>COUNTIFS(Tickets!$I$2:$I$125,$A36,Tickets!$E$2:$E$125,D$34)</f>
        <v/>
      </c>
      <c r="E36" s="9">
        <f>COUNTIFS(Tickets!$I$2:$I$125,$A36,Tickets!$E$2:$E$125,E$34)</f>
        <v/>
      </c>
      <c r="F36" s="9">
        <f>COUNTIFS(Tickets!$I$2:$I$125,$A36,Tickets!$E$2:$E$125,F$34)</f>
        <v/>
      </c>
      <c r="G36" s="9">
        <f>COUNTIFS(Tickets!$I$2:$I$125,$A36,Tickets!$E$2:$E$125,G$34)</f>
        <v/>
      </c>
      <c r="H36" s="7">
        <f>SUM(B36:G36)</f>
        <v/>
      </c>
      <c r="I36" s="10">
        <f>IFERROR(B36/H36,0)</f>
        <v/>
      </c>
    </row>
    <row r="37">
      <c r="A37" s="8" t="inlineStr">
        <is>
          <t>Frontend</t>
        </is>
      </c>
      <c r="B37" s="9">
        <f>COUNTIFS(Tickets!$I$2:$I$125,$A37,Tickets!$E$2:$E$125,B$34)</f>
        <v/>
      </c>
      <c r="C37" s="9">
        <f>COUNTIFS(Tickets!$I$2:$I$125,$A37,Tickets!$E$2:$E$125,C$34)</f>
        <v/>
      </c>
      <c r="D37" s="9">
        <f>COUNTIFS(Tickets!$I$2:$I$125,$A37,Tickets!$E$2:$E$125,D$34)</f>
        <v/>
      </c>
      <c r="E37" s="9">
        <f>COUNTIFS(Tickets!$I$2:$I$125,$A37,Tickets!$E$2:$E$125,E$34)</f>
        <v/>
      </c>
      <c r="F37" s="9">
        <f>COUNTIFS(Tickets!$I$2:$I$125,$A37,Tickets!$E$2:$E$125,F$34)</f>
        <v/>
      </c>
      <c r="G37" s="9">
        <f>COUNTIFS(Tickets!$I$2:$I$125,$A37,Tickets!$E$2:$E$125,G$34)</f>
        <v/>
      </c>
      <c r="H37" s="7">
        <f>SUM(B37:G37)</f>
        <v/>
      </c>
      <c r="I37" s="10">
        <f>IFERROR(B37/H37,0)</f>
        <v/>
      </c>
    </row>
    <row r="38">
      <c r="A38" s="8" t="inlineStr">
        <is>
          <t>Word Add-in</t>
        </is>
      </c>
      <c r="B38" s="9">
        <f>COUNTIFS(Tickets!$I$2:$I$125,$A38,Tickets!$E$2:$E$125,B$34)</f>
        <v/>
      </c>
      <c r="C38" s="9">
        <f>COUNTIFS(Tickets!$I$2:$I$125,$A38,Tickets!$E$2:$E$125,C$34)</f>
        <v/>
      </c>
      <c r="D38" s="9">
        <f>COUNTIFS(Tickets!$I$2:$I$125,$A38,Tickets!$E$2:$E$125,D$34)</f>
        <v/>
      </c>
      <c r="E38" s="9">
        <f>COUNTIFS(Tickets!$I$2:$I$125,$A38,Tickets!$E$2:$E$125,E$34)</f>
        <v/>
      </c>
      <c r="F38" s="9">
        <f>COUNTIFS(Tickets!$I$2:$I$125,$A38,Tickets!$E$2:$E$125,F$34)</f>
        <v/>
      </c>
      <c r="G38" s="9">
        <f>COUNTIFS(Tickets!$I$2:$I$125,$A38,Tickets!$E$2:$E$125,G$34)</f>
        <v/>
      </c>
      <c r="H38" s="7">
        <f>SUM(B38:G38)</f>
        <v/>
      </c>
      <c r="I38" s="10">
        <f>IFERROR(B38/H38,0)</f>
        <v/>
      </c>
    </row>
    <row r="39">
      <c r="A39" s="8" t="inlineStr">
        <is>
          <t>Infrastructure</t>
        </is>
      </c>
      <c r="B39" s="9">
        <f>COUNTIFS(Tickets!$I$2:$I$125,$A39,Tickets!$E$2:$E$125,B$34)</f>
        <v/>
      </c>
      <c r="C39" s="9">
        <f>COUNTIFS(Tickets!$I$2:$I$125,$A39,Tickets!$E$2:$E$125,C$34)</f>
        <v/>
      </c>
      <c r="D39" s="9">
        <f>COUNTIFS(Tickets!$I$2:$I$125,$A39,Tickets!$E$2:$E$125,D$34)</f>
        <v/>
      </c>
      <c r="E39" s="9">
        <f>COUNTIFS(Tickets!$I$2:$I$125,$A39,Tickets!$E$2:$E$125,E$34)</f>
        <v/>
      </c>
      <c r="F39" s="9">
        <f>COUNTIFS(Tickets!$I$2:$I$125,$A39,Tickets!$E$2:$E$125,F$34)</f>
        <v/>
      </c>
      <c r="G39" s="9">
        <f>COUNTIFS(Tickets!$I$2:$I$125,$A39,Tickets!$E$2:$E$125,G$34)</f>
        <v/>
      </c>
      <c r="H39" s="7">
        <f>SUM(B39:G39)</f>
        <v/>
      </c>
      <c r="I39" s="10">
        <f>IFERROR(B39/H39,0)</f>
        <v/>
      </c>
    </row>
    <row r="40">
      <c r="A40" s="8" t="inlineStr">
        <is>
          <t>Integration</t>
        </is>
      </c>
      <c r="B40" s="9">
        <f>COUNTIFS(Tickets!$I$2:$I$125,$A40,Tickets!$E$2:$E$125,B$34)</f>
        <v/>
      </c>
      <c r="C40" s="9">
        <f>COUNTIFS(Tickets!$I$2:$I$125,$A40,Tickets!$E$2:$E$125,C$34)</f>
        <v/>
      </c>
      <c r="D40" s="9">
        <f>COUNTIFS(Tickets!$I$2:$I$125,$A40,Tickets!$E$2:$E$125,D$34)</f>
        <v/>
      </c>
      <c r="E40" s="9">
        <f>COUNTIFS(Tickets!$I$2:$I$125,$A40,Tickets!$E$2:$E$125,E$34)</f>
        <v/>
      </c>
      <c r="F40" s="9">
        <f>COUNTIFS(Tickets!$I$2:$I$125,$A40,Tickets!$E$2:$E$125,F$34)</f>
        <v/>
      </c>
      <c r="G40" s="9">
        <f>COUNTIFS(Tickets!$I$2:$I$125,$A40,Tickets!$E$2:$E$125,G$34)</f>
        <v/>
      </c>
      <c r="H40" s="7">
        <f>SUM(B40:G40)</f>
        <v/>
      </c>
      <c r="I40" s="10">
        <f>IFERROR(B40/H40,0)</f>
        <v/>
      </c>
    </row>
    <row r="41">
      <c r="A41" s="6" t="inlineStr">
        <is>
          <t>All</t>
        </is>
      </c>
      <c r="B41" s="7">
        <f>SUM(B35:B40)</f>
        <v/>
      </c>
      <c r="C41" s="7">
        <f>SUM(C35:C40)</f>
        <v/>
      </c>
      <c r="D41" s="7">
        <f>SUM(D35:D40)</f>
        <v/>
      </c>
      <c r="E41" s="7">
        <f>SUM(E35:E40)</f>
        <v/>
      </c>
      <c r="F41" s="7">
        <f>SUM(F35:F40)</f>
        <v/>
      </c>
      <c r="G41" s="7">
        <f>SUM(G35:G40)</f>
        <v/>
      </c>
      <c r="H41" s="7">
        <f>SUM(H35:H40)</f>
        <v/>
      </c>
      <c r="I41" s="11">
        <f>IFERROR(B41/H41,0)</f>
        <v/>
      </c>
    </row>
    <row r="43">
      <c r="A43" s="3" t="inlineStr">
        <is>
          <t>By issue type</t>
        </is>
      </c>
    </row>
    <row r="44" ht="20" customHeight="1">
      <c r="A44" s="4" t="inlineStr">
        <is>
          <t>Issue Type</t>
        </is>
      </c>
      <c r="B44" s="5" t="inlineStr">
        <is>
          <t>Done</t>
        </is>
      </c>
      <c r="C44" s="5" t="inlineStr">
        <is>
          <t>In progress</t>
        </is>
      </c>
      <c r="D44" s="5" t="inlineStr">
        <is>
          <t>To do</t>
        </is>
      </c>
      <c r="E44" s="5" t="inlineStr">
        <is>
          <t>Deferred</t>
        </is>
      </c>
      <c r="F44" s="5" t="inlineStr">
        <is>
          <t>Superseded</t>
        </is>
      </c>
      <c r="G44" s="5" t="inlineStr">
        <is>
          <t>Won't do</t>
        </is>
      </c>
      <c r="H44" s="5" t="inlineStr">
        <is>
          <t>Total</t>
        </is>
      </c>
      <c r="I44" s="5" t="inlineStr">
        <is>
          <t>% done</t>
        </is>
      </c>
    </row>
    <row r="45">
      <c r="A45" s="8" t="inlineStr">
        <is>
          <t>Epic</t>
        </is>
      </c>
      <c r="B45" s="9">
        <f>COUNTIFS(Tickets!$C$2:$C$125,$A45,Tickets!$E$2:$E$125,B$44)</f>
        <v/>
      </c>
      <c r="C45" s="9">
        <f>COUNTIFS(Tickets!$C$2:$C$125,$A45,Tickets!$E$2:$E$125,C$44)</f>
        <v/>
      </c>
      <c r="D45" s="9">
        <f>COUNTIFS(Tickets!$C$2:$C$125,$A45,Tickets!$E$2:$E$125,D$44)</f>
        <v/>
      </c>
      <c r="E45" s="9">
        <f>COUNTIFS(Tickets!$C$2:$C$125,$A45,Tickets!$E$2:$E$125,E$44)</f>
        <v/>
      </c>
      <c r="F45" s="9">
        <f>COUNTIFS(Tickets!$C$2:$C$125,$A45,Tickets!$E$2:$E$125,F$44)</f>
        <v/>
      </c>
      <c r="G45" s="9">
        <f>COUNTIFS(Tickets!$C$2:$C$125,$A45,Tickets!$E$2:$E$125,G$44)</f>
        <v/>
      </c>
      <c r="H45" s="7">
        <f>SUM(B45:G45)</f>
        <v/>
      </c>
      <c r="I45" s="10">
        <f>IFERROR(B45/H45,0)</f>
        <v/>
      </c>
    </row>
    <row r="46">
      <c r="A46" s="8" t="inlineStr">
        <is>
          <t>Story</t>
        </is>
      </c>
      <c r="B46" s="9">
        <f>COUNTIFS(Tickets!$C$2:$C$125,$A46,Tickets!$E$2:$E$125,B$44)</f>
        <v/>
      </c>
      <c r="C46" s="9">
        <f>COUNTIFS(Tickets!$C$2:$C$125,$A46,Tickets!$E$2:$E$125,C$44)</f>
        <v/>
      </c>
      <c r="D46" s="9">
        <f>COUNTIFS(Tickets!$C$2:$C$125,$A46,Tickets!$E$2:$E$125,D$44)</f>
        <v/>
      </c>
      <c r="E46" s="9">
        <f>COUNTIFS(Tickets!$C$2:$C$125,$A46,Tickets!$E$2:$E$125,E$44)</f>
        <v/>
      </c>
      <c r="F46" s="9">
        <f>COUNTIFS(Tickets!$C$2:$C$125,$A46,Tickets!$E$2:$E$125,F$44)</f>
        <v/>
      </c>
      <c r="G46" s="9">
        <f>COUNTIFS(Tickets!$C$2:$C$125,$A46,Tickets!$E$2:$E$125,G$44)</f>
        <v/>
      </c>
      <c r="H46" s="7">
        <f>SUM(B46:G46)</f>
        <v/>
      </c>
      <c r="I46" s="10">
        <f>IFERROR(B46/H46,0)</f>
        <v/>
      </c>
    </row>
    <row r="47">
      <c r="A47" s="8" t="inlineStr">
        <is>
          <t>Sub-task</t>
        </is>
      </c>
      <c r="B47" s="9">
        <f>COUNTIFS(Tickets!$C$2:$C$125,$A47,Tickets!$E$2:$E$125,B$44)</f>
        <v/>
      </c>
      <c r="C47" s="9">
        <f>COUNTIFS(Tickets!$C$2:$C$125,$A47,Tickets!$E$2:$E$125,C$44)</f>
        <v/>
      </c>
      <c r="D47" s="9">
        <f>COUNTIFS(Tickets!$C$2:$C$125,$A47,Tickets!$E$2:$E$125,D$44)</f>
        <v/>
      </c>
      <c r="E47" s="9">
        <f>COUNTIFS(Tickets!$C$2:$C$125,$A47,Tickets!$E$2:$E$125,E$44)</f>
        <v/>
      </c>
      <c r="F47" s="9">
        <f>COUNTIFS(Tickets!$C$2:$C$125,$A47,Tickets!$E$2:$E$125,F$44)</f>
        <v/>
      </c>
      <c r="G47" s="9">
        <f>COUNTIFS(Tickets!$C$2:$C$125,$A47,Tickets!$E$2:$E$125,G$44)</f>
        <v/>
      </c>
      <c r="H47" s="7">
        <f>SUM(B47:G47)</f>
        <v/>
      </c>
      <c r="I47" s="10">
        <f>IFERROR(B47/H47,0)</f>
        <v/>
      </c>
    </row>
    <row r="48">
      <c r="A48" s="6" t="inlineStr">
        <is>
          <t>All</t>
        </is>
      </c>
      <c r="B48" s="7">
        <f>SUM(B45:B47)</f>
        <v/>
      </c>
      <c r="C48" s="7">
        <f>SUM(C45:C47)</f>
        <v/>
      </c>
      <c r="D48" s="7">
        <f>SUM(D45:D47)</f>
        <v/>
      </c>
      <c r="E48" s="7">
        <f>SUM(E45:E47)</f>
        <v/>
      </c>
      <c r="F48" s="7">
        <f>SUM(F45:F47)</f>
        <v/>
      </c>
      <c r="G48" s="7">
        <f>SUM(G45:G47)</f>
        <v/>
      </c>
      <c r="H48" s="7">
        <f>SUM(H45:H47)</f>
        <v/>
      </c>
      <c r="I48" s="11">
        <f>IFERROR(B48/H48,0)</f>
        <v/>
      </c>
    </row>
    <row r="50">
      <c r="A50" s="3" t="inlineStr">
        <is>
          <t>What each status means</t>
        </is>
      </c>
    </row>
    <row r="51" ht="30" customHeight="1">
      <c r="A51" s="12" t="inlineStr">
        <is>
          <t>Done</t>
        </is>
      </c>
      <c r="B51" s="13" t="inlineStr">
        <is>
          <t>Delivered and merged to the branch. The plan row carries a completion marker.</t>
        </is>
      </c>
    </row>
    <row r="52" ht="30" customHeight="1">
      <c r="A52" s="14" t="inlineStr">
        <is>
          <t>In progress</t>
        </is>
      </c>
      <c r="B52" s="13" t="inlineStr">
        <is>
          <t>Partly delivered: an epic or story whose children are not all done, or work waiting on a step only the operator can take.</t>
        </is>
      </c>
    </row>
    <row r="53" ht="30" customHeight="1">
      <c r="A53" s="15" t="inlineStr">
        <is>
          <t>To do</t>
        </is>
      </c>
      <c r="B53" s="13" t="inlineStr">
        <is>
          <t>Not started. Mostly stage 5 (run the platform on AWS) and the operator-side prerequisites.</t>
        </is>
      </c>
    </row>
    <row r="54" ht="30" customHeight="1">
      <c r="A54" s="16" t="inlineStr">
        <is>
          <t>Deferred</t>
        </is>
      </c>
      <c r="B54" s="13" t="inlineStr">
        <is>
          <t>Scoped and understood, deliberately held until after first production traffic.</t>
        </is>
      </c>
    </row>
    <row r="55" ht="30" customHeight="1">
      <c r="A55" s="17" t="inlineStr">
        <is>
          <t>Superseded</t>
        </is>
      </c>
      <c r="B55" s="13" t="inlineStr">
        <is>
          <t>Replaced by the stage 5 move off Supabase; the work no longer applies.</t>
        </is>
      </c>
    </row>
    <row r="56" ht="30" customHeight="1">
      <c r="A56" s="18" t="inlineStr">
        <is>
          <t>Won't do</t>
        </is>
      </c>
      <c r="B56" s="13" t="inlineStr">
        <is>
          <t>Decided against, with the reason recorded in the plan.</t>
        </is>
      </c>
    </row>
    <row r="58">
      <c r="A58" s="3" t="inlineStr">
        <is>
          <t>Where the statuses come from</t>
        </is>
      </c>
    </row>
    <row r="59" ht="26" customHeight="1">
      <c r="A59" s="19" t="inlineStr">
        <is>
          <t>- Rolled up the Epic -&gt; Story -&gt; Sub-task hierarchy: a parent is Done only when every child is Done, and In progress when at least one child is.</t>
        </is>
      </c>
    </row>
    <row r="60" ht="26" customHeight="1">
      <c r="A60" s="19" t="inlineStr">
        <is>
          <t>- Sub-task statuses come from the completion markers in docs/delivery-plan/v2/plan.md, one row per ticket.</t>
        </is>
      </c>
    </row>
    <row r="61" ht="26" customHeight="1">
      <c r="A61" s="19" t="inlineStr">
        <is>
          <t>- The twelve tickets with no marker are resolved explicitly by the plan's ticket disposition table (2023 won't do; 2029-2031 done; 2038-2041 superseded by stage 5; 2066-2069 deferred).</t>
        </is>
      </c>
    </row>
    <row r="62" ht="26" customHeight="1">
      <c r="A62" s="19" t="inlineStr">
        <is>
          <t>- Tickets 2110-2126 are the new stage 5 scope: move off Supabase onto RDS PostgreSQL with self-hosted PostgREST and GoTrue.</t>
        </is>
      </c>
    </row>
  </sheetData>
  <mergeCells count="10">
    <mergeCell ref="B56:I56"/>
    <mergeCell ref="A59:I59"/>
    <mergeCell ref="B52:I52"/>
    <mergeCell ref="B53:I53"/>
    <mergeCell ref="B55:I55"/>
    <mergeCell ref="A60:I60"/>
    <mergeCell ref="B51:I51"/>
    <mergeCell ref="B54:I54"/>
    <mergeCell ref="A61:I61"/>
    <mergeCell ref="A62:I6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56" customWidth="1" min="4" max="4"/>
    <col width="13" customWidth="1" min="5" max="5"/>
    <col width="62" customWidth="1" min="6" max="6"/>
    <col width="27" customWidth="1" min="7" max="7"/>
    <col width="10" customWidth="1" min="8" max="8"/>
    <col width="15" customWidth="1" min="9" max="9"/>
    <col width="10" customWidth="1" min="10" max="10"/>
    <col width="22" customWidth="1" min="11" max="11"/>
    <col width="24" customWidth="1" min="12" max="12"/>
    <col width="60" customWidth="1" min="13" max="13"/>
    <col width="80" customWidth="1" min="14" max="14"/>
  </cols>
  <sheetData>
    <row r="1" ht="24" customHeight="1">
      <c r="A1" s="4" t="inlineStr">
        <is>
          <t>Issue Id</t>
        </is>
      </c>
      <c r="B1" s="4" t="inlineStr">
        <is>
          <t>Parent Id</t>
        </is>
      </c>
      <c r="C1" s="4" t="inlineStr">
        <is>
          <t>Issue Type</t>
        </is>
      </c>
      <c r="D1" s="4" t="inlineStr">
        <is>
          <t>Summary</t>
        </is>
      </c>
      <c r="E1" s="4" t="inlineStr">
        <is>
          <t>Status</t>
        </is>
      </c>
      <c r="F1" s="4" t="inlineStr">
        <is>
          <t>Status note</t>
        </is>
      </c>
      <c r="G1" s="4" t="inlineStr">
        <is>
          <t>Phase</t>
        </is>
      </c>
      <c r="H1" s="4" t="inlineStr">
        <is>
          <t>Sprint</t>
        </is>
      </c>
      <c r="I1" s="4" t="inlineStr">
        <is>
          <t>Component</t>
        </is>
      </c>
      <c r="J1" s="4" t="inlineStr">
        <is>
          <t>Priority</t>
        </is>
      </c>
      <c r="K1" s="4" t="inlineStr">
        <is>
          <t>Repo</t>
        </is>
      </c>
      <c r="L1" s="4" t="inlineStr">
        <is>
          <t>Labels</t>
        </is>
      </c>
      <c r="M1" s="4" t="inlineStr">
        <is>
          <t>Acceptance Criteria</t>
        </is>
      </c>
      <c r="N1" s="4" t="inlineStr">
        <is>
          <t>Description</t>
        </is>
      </c>
    </row>
    <row r="2" ht="30" customHeight="1">
      <c r="A2" s="20" t="inlineStr">
        <is>
          <t>2001</t>
        </is>
      </c>
      <c r="B2" s="20" t="inlineStr"/>
      <c r="C2" s="20" t="inlineStr">
        <is>
          <t>Epic</t>
        </is>
      </c>
      <c r="D2" s="21" t="inlineStr">
        <is>
          <t>Foundation: private repository and upstream tracking</t>
        </is>
      </c>
      <c r="E2" s="22" t="inlineStr">
        <is>
          <t>In progress</t>
        </is>
      </c>
      <c r="F2" s="23" t="inlineStr">
        <is>
          <t>Rolled up from 2 children: 1 done, 1 in progress.</t>
        </is>
      </c>
      <c r="G2" s="20" t="inlineStr">
        <is>
          <t>Phase 1 - Extraction</t>
        </is>
      </c>
      <c r="H2" s="20" t="inlineStr">
        <is>
          <t>Sprint 1</t>
        </is>
      </c>
      <c r="I2" s="20" t="inlineStr">
        <is>
          <t>Platform</t>
        </is>
      </c>
      <c r="J2" s="20" t="inlineStr">
        <is>
          <t>Highest</t>
        </is>
      </c>
      <c r="K2" s="20" t="inlineStr">
        <is>
          <t>legal-workflow-service</t>
        </is>
      </c>
      <c r="L2" s="20" t="inlineStr">
        <is>
          <t>foundation</t>
        </is>
      </c>
      <c r="M2" s="20" t="inlineStr">
        <is>
          <t>Private repo exists and is protected; a clean clone builds; upstream-main mirrors upstream and merges fast-forward.</t>
        </is>
      </c>
      <c r="N2" s="20" t="inlineStr">
        <is>
          <t>Stand up the private repository extracted from matchamfraser/legalworkflows at commit 8b3466f, with the remote topology that keeps upstream security fixes mergeable. The fork is currently at exact parity with upstream - 581 commits, no divergence - so this is the cheapest moment to get the structure right.</t>
        </is>
      </c>
    </row>
    <row r="3" ht="30" customHeight="1">
      <c r="A3" s="20" t="inlineStr">
        <is>
          <t>2002</t>
        </is>
      </c>
      <c r="B3" s="20" t="inlineStr">
        <is>
          <t>2001</t>
        </is>
      </c>
      <c r="C3" s="20" t="inlineStr">
        <is>
          <t>Story</t>
        </is>
      </c>
      <c r="D3" s="23" t="inlineStr">
        <is>
          <t>Extract into a private repository with history intact</t>
        </is>
      </c>
      <c r="E3" s="24" t="inlineStr">
        <is>
          <t>Done</t>
        </is>
      </c>
      <c r="F3" s="23" t="inlineStr">
        <is>
          <t>Rolled up from 4 children: 4 done.</t>
        </is>
      </c>
      <c r="G3" s="20" t="inlineStr">
        <is>
          <t>Phase 1 - Extraction</t>
        </is>
      </c>
      <c r="H3" s="20" t="inlineStr">
        <is>
          <t>Sprint 1</t>
        </is>
      </c>
      <c r="I3" s="20" t="inlineStr">
        <is>
          <t>Platform</t>
        </is>
      </c>
      <c r="J3" s="20" t="inlineStr">
        <is>
          <t>Highest</t>
        </is>
      </c>
      <c r="K3" s="20" t="inlineStr">
        <is>
          <t>legal-workflow-service</t>
        </is>
      </c>
      <c r="L3" s="20" t="inlineStr">
        <is>
          <t>foundation</t>
        </is>
      </c>
      <c r="M3" s="20" t="inlineStr">
        <is>
          <t>git log on backend/src/app.ts shows pre-extraction commits; npm ci and npm run build pass from a clean clone.</t>
        </is>
      </c>
      <c r="N3" s="20" t="inlineStr">
        <is>
          <t>Clone the full tree with history rather than copying files. History is what makes upstream merges possible and is the cleanest record of what changed and when, which AGPL section 5(a) asks you to state. Do NOT squash or re-init.</t>
        </is>
      </c>
    </row>
    <row r="4" ht="30" customHeight="1">
      <c r="A4" s="20" t="inlineStr">
        <is>
          <t>2003</t>
        </is>
      </c>
      <c r="B4" s="20" t="inlineStr">
        <is>
          <t>2002</t>
        </is>
      </c>
      <c r="C4" s="20" t="inlineStr">
        <is>
          <t>Sub-task</t>
        </is>
      </c>
      <c r="D4" s="23" t="inlineStr">
        <is>
          <t>Clone with full history and rewire remotes</t>
        </is>
      </c>
      <c r="E4" s="24" t="inlineStr">
        <is>
          <t>Done</t>
        </is>
      </c>
      <c r="F4" s="23" t="inlineStr">
        <is>
          <t>repository exists with history</t>
        </is>
      </c>
      <c r="G4" s="20" t="inlineStr">
        <is>
          <t>Phase 1 - Extraction</t>
        </is>
      </c>
      <c r="H4" s="20" t="inlineStr">
        <is>
          <t>Sprint 1</t>
        </is>
      </c>
      <c r="I4" s="20" t="inlineStr">
        <is>
          <t>Platform</t>
        </is>
      </c>
      <c r="J4" s="20" t="inlineStr">
        <is>
          <t>Highest</t>
        </is>
      </c>
      <c r="K4" s="20" t="inlineStr">
        <is>
          <t>legal-workflow-service</t>
        </is>
      </c>
      <c r="L4" s="20" t="inlineStr">
        <is>
          <t>foundation</t>
        </is>
      </c>
      <c r="M4" s="20" t="inlineStr">
        <is>
          <t>git remote -v shows all three; git log --oneline | wc -l returns 581.</t>
        </is>
      </c>
      <c r="N4" s="20" t="inlineStr">
        <is>
          <t>git clone the existing fork, then: rename origin to fork, add upstream = Open-Legal-Products/legalworkflows, add origin = the new private repo. Three remotes, each with one job. Push main to the new origin.</t>
        </is>
      </c>
    </row>
    <row r="5" ht="30" customHeight="1">
      <c r="A5" s="20" t="inlineStr">
        <is>
          <t>2004</t>
        </is>
      </c>
      <c r="B5" s="20" t="inlineStr">
        <is>
          <t>2002</t>
        </is>
      </c>
      <c r="C5" s="20" t="inlineStr">
        <is>
          <t>Sub-task</t>
        </is>
      </c>
      <c r="D5" s="23" t="inlineStr">
        <is>
          <t>Create the protected upstream-main mirror branch</t>
        </is>
      </c>
      <c r="E5" s="24" t="inlineStr">
        <is>
          <t>Done</t>
        </is>
      </c>
      <c r="F5" s="23" t="inlineStr">
        <is>
          <t>upstream-main exists on the remote</t>
        </is>
      </c>
      <c r="G5" s="20" t="inlineStr">
        <is>
          <t>Phase 1 - Extraction</t>
        </is>
      </c>
      <c r="H5" s="20" t="inlineStr">
        <is>
          <t>Sprint 1</t>
        </is>
      </c>
      <c r="I5" s="20" t="inlineStr">
        <is>
          <t>Platform</t>
        </is>
      </c>
      <c r="J5" s="20" t="inlineStr">
        <is>
          <t>Highest</t>
        </is>
      </c>
      <c r="K5" s="20" t="inlineStr">
        <is>
          <t>legal-workflow-service</t>
        </is>
      </c>
      <c r="L5" s="20" t="inlineStr">
        <is>
          <t>foundation</t>
        </is>
      </c>
      <c r="M5" s="20" t="inlineStr">
        <is>
          <t>upstream-main exists on origin; a non-fast-forward push to it is rejected.</t>
        </is>
      </c>
      <c r="N5" s="20" t="inlineStr">
        <is>
          <t>Branch upstream-main from upstream/main and push it. Nothing is ever committed to this branch - it exists only as a clean merge base. Protect it to allow fast-forward pushes only, so it cannot drift.</t>
        </is>
      </c>
    </row>
    <row r="6" ht="30" customHeight="1">
      <c r="A6" s="20" t="inlineStr">
        <is>
          <t>2005</t>
        </is>
      </c>
      <c r="B6" s="20" t="inlineStr">
        <is>
          <t>2002</t>
        </is>
      </c>
      <c r="C6" s="20" t="inlineStr">
        <is>
          <t>Sub-task</t>
        </is>
      </c>
      <c r="D6" s="23" t="inlineStr">
        <is>
          <t>Configure branch protection and merge rules on main</t>
        </is>
      </c>
      <c r="E6" s="24" t="inlineStr">
        <is>
          <t>Done</t>
        </is>
      </c>
      <c r="F6" s="23" t="inlineStr">
        <is>
          <t>branch protection set in GitHub settings (plan 4.5)</t>
        </is>
      </c>
      <c r="G6" s="20" t="inlineStr">
        <is>
          <t>Phase 1 - Extraction</t>
        </is>
      </c>
      <c r="H6" s="20" t="inlineStr">
        <is>
          <t>Sprint 1</t>
        </is>
      </c>
      <c r="I6" s="20" t="inlineStr">
        <is>
          <t>Platform</t>
        </is>
      </c>
      <c r="J6" s="20" t="inlineStr">
        <is>
          <t>High</t>
        </is>
      </c>
      <c r="K6" s="20" t="inlineStr">
        <is>
          <t>legal-workflow-service</t>
        </is>
      </c>
      <c r="L6" s="20" t="inlineStr">
        <is>
          <t>foundation</t>
        </is>
      </c>
      <c r="M6" s="20" t="inlineStr">
        <is>
          <t>Direct push to main is rejected; a PR with red CI cannot merge.</t>
        </is>
      </c>
      <c r="N6" s="20" t="inlineStr">
        <is>
          <t>Protect main: require a PR, require status checks to pass, require branches up to date before merging, no force push, auto-delete merged branches. Solo development still benefits - this is what makes CI actually gate anything.</t>
        </is>
      </c>
    </row>
    <row r="7" ht="30" customHeight="1">
      <c r="A7" s="20" t="inlineStr">
        <is>
          <t>2006</t>
        </is>
      </c>
      <c r="B7" s="20" t="inlineStr">
        <is>
          <t>2002</t>
        </is>
      </c>
      <c r="C7" s="20" t="inlineStr">
        <is>
          <t>Sub-task</t>
        </is>
      </c>
      <c r="D7" s="23" t="inlineStr">
        <is>
          <t>Add fork-specific rules to AGENTS.md</t>
        </is>
      </c>
      <c r="E7" s="24" t="inlineStr">
        <is>
          <t>Done</t>
        </is>
      </c>
      <c r="F7" s="23" t="inlineStr">
        <is>
          <t>fork rules present in AGENTS.md</t>
        </is>
      </c>
      <c r="G7" s="20" t="inlineStr">
        <is>
          <t>Phase 1 - Extraction</t>
        </is>
      </c>
      <c r="H7" s="20" t="inlineStr">
        <is>
          <t>Sprint 1</t>
        </is>
      </c>
      <c r="I7" s="20" t="inlineStr">
        <is>
          <t>Platform</t>
        </is>
      </c>
      <c r="J7" s="20" t="inlineStr">
        <is>
          <t>High</t>
        </is>
      </c>
      <c r="K7" s="20" t="inlineStr">
        <is>
          <t>legal-workflow-service</t>
        </is>
      </c>
      <c r="L7" s="20" t="inlineStr">
        <is>
          <t>foundation</t>
        </is>
      </c>
      <c r="M7" s="20" t="inlineStr">
        <is>
          <t>AGENTS.md states all four rules; both the developer and Claude Code are bound by them from the first commit.</t>
        </is>
      </c>
      <c r="N7" s="20" t="inlineStr">
        <is>
          <t>The repo already carries a strong AGENTS.md. Add a section at the top covering the four constraints specific to this fork: the HTTP-only service boundary to Juralio, the user-visible-only rename rule with its do-not-touch list, the additive-changes-in-new-files merge rule, and the rule that LICENSE is never deleted or altered.</t>
        </is>
      </c>
    </row>
    <row r="8" ht="30" customHeight="1">
      <c r="A8" s="20" t="inlineStr">
        <is>
          <t>2007</t>
        </is>
      </c>
      <c r="B8" s="20" t="inlineStr">
        <is>
          <t>2001</t>
        </is>
      </c>
      <c r="C8" s="20" t="inlineStr">
        <is>
          <t>Story</t>
        </is>
      </c>
      <c r="D8" s="23" t="inlineStr">
        <is>
          <t>Establish and prove the upstream merge routine</t>
        </is>
      </c>
      <c r="E8" s="22" t="inlineStr">
        <is>
          <t>In progress</t>
        </is>
      </c>
      <c r="F8" s="23" t="inlineStr">
        <is>
          <t>Rolled up from 2 children: 1 done, 1 to do.</t>
        </is>
      </c>
      <c r="G8" s="20" t="inlineStr">
        <is>
          <t>Phase 1 - Extraction</t>
        </is>
      </c>
      <c r="H8" s="20" t="inlineStr">
        <is>
          <t>Sprint 1</t>
        </is>
      </c>
      <c r="I8" s="20" t="inlineStr">
        <is>
          <t>Platform</t>
        </is>
      </c>
      <c r="J8" s="20" t="inlineStr">
        <is>
          <t>High</t>
        </is>
      </c>
      <c r="K8" s="20" t="inlineStr">
        <is>
          <t>legal-workflow-service</t>
        </is>
      </c>
      <c r="L8" s="20" t="inlineStr">
        <is>
          <t>foundation</t>
        </is>
      </c>
      <c r="M8" s="20" t="inlineStr">
        <is>
          <t>A documented three-command sync exists and has been run end to end at least once.</t>
        </is>
      </c>
      <c r="N8" s="20" t="inlineStr">
        <is>
          <t>Upstream merged 581 commits in roughly four months. A sync routine that is documented and exercised once now is far cheaper than one improvised in six months against a large diff.</t>
        </is>
      </c>
    </row>
    <row r="9" ht="30" customHeight="1">
      <c r="A9" s="20" t="inlineStr">
        <is>
          <t>2008</t>
        </is>
      </c>
      <c r="B9" s="20" t="inlineStr">
        <is>
          <t>2007</t>
        </is>
      </c>
      <c r="C9" s="20" t="inlineStr">
        <is>
          <t>Sub-task</t>
        </is>
      </c>
      <c r="D9" s="23" t="inlineStr">
        <is>
          <t>Document and script the upstream sync</t>
        </is>
      </c>
      <c r="E9" s="24" t="inlineStr">
        <is>
          <t>Done</t>
        </is>
      </c>
      <c r="F9" s="23" t="inlineStr">
        <is>
          <t>docs/upstream-sync.md</t>
        </is>
      </c>
      <c r="G9" s="20" t="inlineStr">
        <is>
          <t>Phase 1 - Extraction</t>
        </is>
      </c>
      <c r="H9" s="20" t="inlineStr">
        <is>
          <t>Sprint 1</t>
        </is>
      </c>
      <c r="I9" s="20" t="inlineStr">
        <is>
          <t>Platform</t>
        </is>
      </c>
      <c r="J9" s="20" t="inlineStr">
        <is>
          <t>High</t>
        </is>
      </c>
      <c r="K9" s="20" t="inlineStr">
        <is>
          <t>legal-workflow-service</t>
        </is>
      </c>
      <c r="L9" s="20" t="inlineStr">
        <is>
          <t>foundation</t>
        </is>
      </c>
      <c r="M9" s="20" t="inlineStr">
        <is>
          <t>docs/upstream-sync.md exists; the routine is reproducible from it alone.</t>
        </is>
      </c>
      <c r="N9" s="20" t="inlineStr">
        <is>
          <t>fetch upstream, fast-forward upstream-main, merge upstream-main into main, resolve, test, push. Note the .gitattributes convention already in the repo: package-lock.json is merged as binary deliberately, so conflicts surface explicitly - resolve by taking main's copy and regenerating.</t>
        </is>
      </c>
    </row>
    <row r="10" ht="30" customHeight="1">
      <c r="A10" s="20" t="inlineStr">
        <is>
          <t>2009</t>
        </is>
      </c>
      <c r="B10" s="20" t="inlineStr">
        <is>
          <t>2007</t>
        </is>
      </c>
      <c r="C10" s="20" t="inlineStr">
        <is>
          <t>Sub-task</t>
        </is>
      </c>
      <c r="D10" s="23" t="inlineStr">
        <is>
          <t>Run a first upstream merge as a dry run</t>
        </is>
      </c>
      <c r="E10" s="25" t="inlineStr">
        <is>
          <t>To do</t>
        </is>
      </c>
      <c r="F10" s="23" t="inlineStr">
        <is>
          <t>Never performed in this fork; the "upstream" merges in history are inherited. Value decays as the fork diverges.</t>
        </is>
      </c>
      <c r="G10" s="20" t="inlineStr">
        <is>
          <t>Phase 1 - Extraction</t>
        </is>
      </c>
      <c r="H10" s="20" t="inlineStr">
        <is>
          <t>Sprint 1</t>
        </is>
      </c>
      <c r="I10" s="20" t="inlineStr">
        <is>
          <t>Platform</t>
        </is>
      </c>
      <c r="J10" s="20" t="inlineStr">
        <is>
          <t>Medium</t>
        </is>
      </c>
      <c r="K10" s="20" t="inlineStr">
        <is>
          <t>legal-workflow-service</t>
        </is>
      </c>
      <c r="L10" s="20" t="inlineStr">
        <is>
          <t>foundation</t>
        </is>
      </c>
      <c r="M10" s="20" t="inlineStr">
        <is>
          <t>Merge completes; full backend and frontend suites green afterwards.</t>
        </is>
      </c>
      <c r="N10" s="20" t="inlineStr">
        <is>
          <t>Execute the routine before any local divergence exists, so the mechanics are proven while a conflict is impossible. Records a baseline merge commit.</t>
        </is>
      </c>
    </row>
    <row r="11" ht="30" customHeight="1">
      <c r="A11" s="20" t="inlineStr">
        <is>
          <t>2010</t>
        </is>
      </c>
      <c r="B11" s="20" t="inlineStr"/>
      <c r="C11" s="20" t="inlineStr">
        <is>
          <t>Epic</t>
        </is>
      </c>
      <c r="D11" s="21" t="inlineStr">
        <is>
          <t>Unblock the build</t>
        </is>
      </c>
      <c r="E11" s="22" t="inlineStr">
        <is>
          <t>In progress</t>
        </is>
      </c>
      <c r="F11" s="23" t="inlineStr">
        <is>
          <t>Rolled up from 2 children: 1 done, 1 to do.</t>
        </is>
      </c>
      <c r="G11" s="20" t="inlineStr">
        <is>
          <t>Phase 1 - Extraction</t>
        </is>
      </c>
      <c r="H11" s="20" t="inlineStr">
        <is>
          <t>Sprint 1</t>
        </is>
      </c>
      <c r="I11" s="20" t="inlineStr">
        <is>
          <t>Backend</t>
        </is>
      </c>
      <c r="J11" s="20" t="inlineStr">
        <is>
          <t>Highest</t>
        </is>
      </c>
      <c r="K11" s="20" t="inlineStr">
        <is>
          <t>legal-workflow-service</t>
        </is>
      </c>
      <c r="L11" s="20" t="inlineStr">
        <is>
          <t>blocker</t>
        </is>
      </c>
      <c r="M11" s="20" t="inlineStr">
        <is>
          <t>npm ci completes on a filtered network; all 117 backend test files run, not 80.</t>
        </is>
      </c>
      <c r="N11" s="20" t="inlineStr">
        <is>
          <t>Two inherited dependencies stop the project dead on a restricted network. Neither is a code defect, both must be cleared before any CI work can be validated. Verified in review: npm ci fails with a 403 today.</t>
        </is>
      </c>
    </row>
    <row r="12" ht="30" customHeight="1">
      <c r="A12" s="20" t="inlineStr">
        <is>
          <t>2011</t>
        </is>
      </c>
      <c r="B12" s="20" t="inlineStr">
        <is>
          <t>2010</t>
        </is>
      </c>
      <c r="C12" s="20" t="inlineStr">
        <is>
          <t>Story</t>
        </is>
      </c>
      <c r="D12" s="23" t="inlineStr">
        <is>
          <t>Remove the SheetJS CDN dependency</t>
        </is>
      </c>
      <c r="E12" s="24" t="inlineStr">
        <is>
          <t>Done</t>
        </is>
      </c>
      <c r="F12" s="23" t="inlineStr">
        <is>
          <t>Rolled up from 2 children: 1 done, 1 won't do.</t>
        </is>
      </c>
      <c r="G12" s="20" t="inlineStr">
        <is>
          <t>Phase 1 - Extraction</t>
        </is>
      </c>
      <c r="H12" s="20" t="inlineStr">
        <is>
          <t>Sprint 1</t>
        </is>
      </c>
      <c r="I12" s="20" t="inlineStr">
        <is>
          <t>Backend</t>
        </is>
      </c>
      <c r="J12" s="20" t="inlineStr">
        <is>
          <t>Highest</t>
        </is>
      </c>
      <c r="K12" s="20" t="inlineStr">
        <is>
          <t>legal-workflow-service</t>
        </is>
      </c>
      <c r="L12" s="20" t="inlineStr">
        <is>
          <t>blocker</t>
        </is>
      </c>
      <c r="M12" s="20" t="inlineStr">
        <is>
          <t>npm ci --prefix backend succeeds behind an egress filter; spreadsheet parsing behaviour is unchanged.</t>
        </is>
      </c>
      <c r="N12" s="20" t="inlineStr">
        <is>
          <t>backend/package.json pins xlsx to https://cdn.sheetjs.com/xlsx-0.20.3/xlsx-0.20.3.tgz - a direct vendor tarball, not a registry package. Any proxy or air-gapped runner fails npm ci outright, and Dependabot cannot see it. Only backend/src/lib/spreadsheet.ts imports it.</t>
        </is>
      </c>
    </row>
    <row r="13" ht="30" customHeight="1">
      <c r="A13" s="20" t="inlineStr">
        <is>
          <t>2012</t>
        </is>
      </c>
      <c r="B13" s="20" t="inlineStr">
        <is>
          <t>2011</t>
        </is>
      </c>
      <c r="C13" s="20" t="inlineStr">
        <is>
          <t>Sub-task</t>
        </is>
      </c>
      <c r="D13" s="23" t="inlineStr">
        <is>
          <t>Replace xlsx with exceljs in spreadsheet.ts</t>
        </is>
      </c>
      <c r="E13" s="26" t="inlineStr">
        <is>
          <t>Won't do</t>
        </is>
      </c>
      <c r="F13" s="23" t="inlineStr">
        <is>
          <t>From the delivery plan row that cites it.</t>
        </is>
      </c>
      <c r="G13" s="20" t="inlineStr">
        <is>
          <t>Phase 1 - Extraction</t>
        </is>
      </c>
      <c r="H13" s="20" t="inlineStr">
        <is>
          <t>Sprint 1</t>
        </is>
      </c>
      <c r="I13" s="20" t="inlineStr">
        <is>
          <t>Backend</t>
        </is>
      </c>
      <c r="J13" s="20" t="inlineStr">
        <is>
          <t>Highest</t>
        </is>
      </c>
      <c r="K13" s="20" t="inlineStr">
        <is>
          <t>legal-workflow-service</t>
        </is>
      </c>
      <c r="L13" s="20" t="inlineStr">
        <is>
          <t>blocker</t>
        </is>
      </c>
      <c r="M13" s="20" t="inlineStr">
        <is>
          <t>Existing spreadsheet tests pass unchanged; a sample .xlsx, .xlsm and legacy .xls each produce identical output to the previous implementation.</t>
        </is>
      </c>
      <c r="N13" s="20" t="inlineStr">
        <is>
          <t>exceljs is already a frontend dependency, so it is a known quantity. Preserve the current output contract exactly: a cell-addressed markdown table per sheet, using the Excel-formatted display string (cell.w equivalent) so dates and currency reach the model as a human sees them, with cached formula results rather than formulas.</t>
        </is>
      </c>
    </row>
    <row r="14" ht="30" customHeight="1">
      <c r="A14" s="20" t="inlineStr">
        <is>
          <t>2013</t>
        </is>
      </c>
      <c r="B14" s="20" t="inlineStr">
        <is>
          <t>2011</t>
        </is>
      </c>
      <c r="C14" s="20" t="inlineStr">
        <is>
          <t>Sub-task</t>
        </is>
      </c>
      <c r="D14" s="23" t="inlineStr">
        <is>
          <t>Verify a clean install and the full backend suite</t>
        </is>
      </c>
      <c r="E14" s="24" t="inlineStr">
        <is>
          <t>Done</t>
        </is>
      </c>
      <c r="F14" s="23" t="inlineStr">
        <is>
          <t>From the delivery plan row that cites it.</t>
        </is>
      </c>
      <c r="G14" s="20" t="inlineStr">
        <is>
          <t>Phase 1 - Extraction</t>
        </is>
      </c>
      <c r="H14" s="20" t="inlineStr">
        <is>
          <t>Sprint 1</t>
        </is>
      </c>
      <c r="I14" s="20" t="inlineStr">
        <is>
          <t>Backend</t>
        </is>
      </c>
      <c r="J14" s="20" t="inlineStr">
        <is>
          <t>Highest</t>
        </is>
      </c>
      <c r="K14" s="20" t="inlineStr">
        <is>
          <t>legal-workflow-service</t>
        </is>
      </c>
      <c r="L14" s="20" t="inlineStr">
        <is>
          <t>blocker</t>
        </is>
      </c>
      <c r="M14" s="20" t="inlineStr">
        <is>
          <t>npm ci, npm run build and npm test all pass; test file count is 117, not 80.</t>
        </is>
      </c>
      <c r="N14" s="20" t="inlineStr">
        <is>
          <t>Confirm the fix on a network that blocks non-registry hosts. Before this ticket, 31 of 117 backend test files cannot be exercised at all.</t>
        </is>
      </c>
    </row>
    <row r="15" ht="30" customHeight="1">
      <c r="A15" s="20" t="inlineStr">
        <is>
          <t>2014</t>
        </is>
      </c>
      <c r="B15" s="20" t="inlineStr">
        <is>
          <t>2010</t>
        </is>
      </c>
      <c r="C15" s="20" t="inlineStr">
        <is>
          <t>Story</t>
        </is>
      </c>
      <c r="D15" s="23" t="inlineStr">
        <is>
          <t>Take ownership of the workflow catalogue</t>
        </is>
      </c>
      <c r="E15" s="25" t="inlineStr">
        <is>
          <t>To do</t>
        </is>
      </c>
      <c r="F15" s="23" t="inlineStr">
        <is>
          <t>Rolled up from 2 children: 2 to do.</t>
        </is>
      </c>
      <c r="G15" s="20" t="inlineStr">
        <is>
          <t>Phase 1 - Extraction</t>
        </is>
      </c>
      <c r="H15" s="20" t="inlineStr">
        <is>
          <t>Sprint 1</t>
        </is>
      </c>
      <c r="I15" s="20" t="inlineStr">
        <is>
          <t>Backend</t>
        </is>
      </c>
      <c r="J15" s="20" t="inlineStr">
        <is>
          <t>High</t>
        </is>
      </c>
      <c r="K15" s="20" t="inlineStr">
        <is>
          <t>legal-workflow-service</t>
        </is>
      </c>
      <c r="L15" s="20" t="inlineStr">
        <is>
          <t>blocker</t>
        </is>
      </c>
      <c r="M15" s="20" t="inlineStr">
        <is>
          <t>The catalogue syncs from a repository you control; upstream renaming or privatising theirs has no effect.</t>
        </is>
      </c>
      <c r="N15" s="20" t="inlineStr">
        <is>
          <t>System assistant and tabular-review workflows are not in this tree. A sync job downloads them at runtime from Open-Legal-Products/mike-workflows, and five defaults are hardcoded by key in backend/src/lib/workflowCatalogSource.ts. Product content is therefore controlled by a third party.</t>
        </is>
      </c>
    </row>
    <row r="16" ht="30" customHeight="1">
      <c r="A16" s="20" t="inlineStr">
        <is>
          <t>2015</t>
        </is>
      </c>
      <c r="B16" s="20" t="inlineStr">
        <is>
          <t>2014</t>
        </is>
      </c>
      <c r="C16" s="20" t="inlineStr">
        <is>
          <t>Sub-task</t>
        </is>
      </c>
      <c r="D16" s="23" t="inlineStr">
        <is>
          <t>Fork mike-workflows and repoint the sync</t>
        </is>
      </c>
      <c r="E16" s="25" t="inlineStr">
        <is>
          <t>To do</t>
        </is>
      </c>
      <c r="F16" s="23" t="inlineStr">
        <is>
          <t>Inherited from parent 2014 (to do).</t>
        </is>
      </c>
      <c r="G16" s="20" t="inlineStr">
        <is>
          <t>Phase 1 - Extraction</t>
        </is>
      </c>
      <c r="H16" s="20" t="inlineStr">
        <is>
          <t>Sprint 1</t>
        </is>
      </c>
      <c r="I16" s="20" t="inlineStr">
        <is>
          <t>Backend</t>
        </is>
      </c>
      <c r="J16" s="20" t="inlineStr">
        <is>
          <t>High</t>
        </is>
      </c>
      <c r="K16" s="20" t="inlineStr">
        <is>
          <t>legal-workflow-service</t>
        </is>
      </c>
      <c r="L16" s="20" t="inlineStr">
        <is>
          <t>blocker</t>
        </is>
      </c>
      <c r="M16" s="20" t="inlineStr">
        <is>
          <t>Sync job pulls from the fork; workflows appear in the app; the catalogue repo licence is recorded.</t>
        </is>
      </c>
      <c r="N16" s="20" t="inlineStr">
        <is>
          <t>Fork the catalogue repository and set MIKE_WORKFLOWS_REPOSITORY to the fork. Check the catalogue repo's own licence first - it is a separate repository and may not be AGPL. The ingestion code is already hardened with size caps, path validation and timeouts, so this is configuration, not a rewrite.</t>
        </is>
      </c>
    </row>
    <row r="17" ht="30" customHeight="1">
      <c r="A17" s="20" t="inlineStr">
        <is>
          <t>2016</t>
        </is>
      </c>
      <c r="B17" s="20" t="inlineStr">
        <is>
          <t>2014</t>
        </is>
      </c>
      <c r="C17" s="20" t="inlineStr">
        <is>
          <t>Sub-task</t>
        </is>
      </c>
      <c r="D17" s="23" t="inlineStr">
        <is>
          <t>Verify catalogue sync end to end</t>
        </is>
      </c>
      <c r="E17" s="25" t="inlineStr">
        <is>
          <t>To do</t>
        </is>
      </c>
      <c r="F17" s="23" t="inlineStr">
        <is>
          <t>Inherited from parent 2014 (to do).</t>
        </is>
      </c>
      <c r="G17" s="20" t="inlineStr">
        <is>
          <t>Phase 1 - Extraction</t>
        </is>
      </c>
      <c r="H17" s="20" t="inlineStr">
        <is>
          <t>Sprint 1</t>
        </is>
      </c>
      <c r="I17" s="20" t="inlineStr">
        <is>
          <t>Backend</t>
        </is>
      </c>
      <c r="J17" s="20" t="inlineStr">
        <is>
          <t>Medium</t>
        </is>
      </c>
      <c r="K17" s="20" t="inlineStr">
        <is>
          <t>legal-workflow-service</t>
        </is>
      </c>
      <c r="L17" s="20" t="inlineStr">
        <is>
          <t>blocker</t>
        </is>
      </c>
      <c r="M17" s="20" t="inlineStr">
        <is>
          <t>Fresh database reaches a populated workflow catalogue with no manual steps.</t>
        </is>
      </c>
      <c r="N17" s="20" t="inlineStr">
        <is>
          <t>Run the sync job against an empty database and confirm the five defaults install, quick actions resolve, and add-ons appear in the catalogue.</t>
        </is>
      </c>
    </row>
    <row r="18" ht="30" customHeight="1">
      <c r="A18" s="20" t="inlineStr">
        <is>
          <t>2017</t>
        </is>
      </c>
      <c r="B18" s="20" t="inlineStr"/>
      <c r="C18" s="20" t="inlineStr">
        <is>
          <t>Epic</t>
        </is>
      </c>
      <c r="D18" s="21" t="inlineStr">
        <is>
          <t>CI/CD adaptation</t>
        </is>
      </c>
      <c r="E18" s="22" t="inlineStr">
        <is>
          <t>In progress</t>
        </is>
      </c>
      <c r="F18" s="23" t="inlineStr">
        <is>
          <t>Rolled up from 2 children: 1 done, 1 in progress.</t>
        </is>
      </c>
      <c r="G18" s="20" t="inlineStr">
        <is>
          <t>Phase 1 - Extraction</t>
        </is>
      </c>
      <c r="H18" s="20" t="inlineStr">
        <is>
          <t>Sprint 2</t>
        </is>
      </c>
      <c r="I18" s="20" t="inlineStr">
        <is>
          <t>Platform</t>
        </is>
      </c>
      <c r="J18" s="20" t="inlineStr">
        <is>
          <t>Highest</t>
        </is>
      </c>
      <c r="K18" s="20" t="inlineStr">
        <is>
          <t>legal-workflow-service</t>
        </is>
      </c>
      <c r="L18" s="20" t="inlineStr">
        <is>
          <t>ci</t>
        </is>
      </c>
      <c r="M18" s="20" t="inlineStr">
        <is>
          <t>CI green on every PR; the security suites are required checks; no workflow fails for reasons unrelated to the code.</t>
        </is>
      </c>
      <c r="N18" s="20" t="inlineStr">
        <is>
          <t>Nine of the eleven inherited workflows carry over, one must be deleted because it cannot work on a private repo, and one is optional. The inherited suite is unusually strong - mutation testing, a real-Supabase security suite and a schema drift check - and is worth preserving intact.</t>
        </is>
      </c>
    </row>
    <row r="19" ht="30" customHeight="1">
      <c r="A19" s="20" t="inlineStr">
        <is>
          <t>2018</t>
        </is>
      </c>
      <c r="B19" s="20" t="inlineStr">
        <is>
          <t>2017</t>
        </is>
      </c>
      <c r="C19" s="20" t="inlineStr">
        <is>
          <t>Story</t>
        </is>
      </c>
      <c r="D19" s="23" t="inlineStr">
        <is>
          <t>Port the inherited workflows to the private repo</t>
        </is>
      </c>
      <c r="E19" s="22" t="inlineStr">
        <is>
          <t>In progress</t>
        </is>
      </c>
      <c r="F19" s="23" t="inlineStr">
        <is>
          <t>Rolled up from 5 children: 3 done, 1 in progress, 1 won't do.</t>
        </is>
      </c>
      <c r="G19" s="20" t="inlineStr">
        <is>
          <t>Phase 1 - Extraction</t>
        </is>
      </c>
      <c r="H19" s="20" t="inlineStr">
        <is>
          <t>Sprint 2</t>
        </is>
      </c>
      <c r="I19" s="20" t="inlineStr">
        <is>
          <t>Platform</t>
        </is>
      </c>
      <c r="J19" s="20" t="inlineStr">
        <is>
          <t>Highest</t>
        </is>
      </c>
      <c r="K19" s="20" t="inlineStr">
        <is>
          <t>legal-workflow-service</t>
        </is>
      </c>
      <c r="L19" s="20" t="inlineStr">
        <is>
          <t>ci</t>
        </is>
      </c>
      <c r="M19" s="20" t="inlineStr">
        <is>
          <t>Every retained workflow runs green; deleted and disabled ones are documented with the reason.</t>
        </is>
      </c>
      <c r="N19" s="20" t="inlineStr">
        <is>
          <t>Adapt the eleven workflows to the new repo topology and plan constraints.</t>
        </is>
      </c>
    </row>
    <row r="20" ht="30" customHeight="1">
      <c r="A20" s="20" t="inlineStr">
        <is>
          <t>2019</t>
        </is>
      </c>
      <c r="B20" s="20" t="inlineStr">
        <is>
          <t>2018</t>
        </is>
      </c>
      <c r="C20" s="20" t="inlineStr">
        <is>
          <t>Sub-task</t>
        </is>
      </c>
      <c r="D20" s="23" t="inlineStr">
        <is>
          <t>Delete scorecard.yml and retarget branch filters</t>
        </is>
      </c>
      <c r="E20" s="24" t="inlineStr">
        <is>
          <t>Done</t>
        </is>
      </c>
      <c r="F20" s="23" t="inlineStr">
        <is>
          <t>scorecard.yml absent from .github/workflows/</t>
        </is>
      </c>
      <c r="G20" s="20" t="inlineStr">
        <is>
          <t>Phase 1 - Extraction</t>
        </is>
      </c>
      <c r="H20" s="20" t="inlineStr">
        <is>
          <t>Sprint 2</t>
        </is>
      </c>
      <c r="I20" s="20" t="inlineStr">
        <is>
          <t>Platform</t>
        </is>
      </c>
      <c r="J20" s="20" t="inlineStr">
        <is>
          <t>High</t>
        </is>
      </c>
      <c r="K20" s="20" t="inlineStr">
        <is>
          <t>legal-workflow-service</t>
        </is>
      </c>
      <c r="L20" s="20" t="inlineStr">
        <is>
          <t>ci</t>
        </is>
      </c>
      <c r="M20" s="20" t="inlineStr">
        <is>
          <t>scorecard.yml removed with the reason in the commit message; e2e branch filter verified correct.</t>
        </is>
      </c>
      <c r="N20" s="20" t="inlineStr">
        <is>
          <t>scorecard.yml sets publish_results: true against the OpenSSF public API, which only accepts public repositories - it cannot work here. Separately, e2e.yml already filters on [main, upstream-main], which matches the topology from the foundation epic; confirm rather than change.</t>
        </is>
      </c>
    </row>
    <row r="21" ht="30" customHeight="1">
      <c r="A21" s="20" t="inlineStr">
        <is>
          <t>2020</t>
        </is>
      </c>
      <c r="B21" s="20" t="inlineStr">
        <is>
          <t>2018</t>
        </is>
      </c>
      <c r="C21" s="20" t="inlineStr">
        <is>
          <t>Sub-task</t>
        </is>
      </c>
      <c r="D21" s="23" t="inlineStr">
        <is>
          <t>Configure Actions secrets and verify the e2e run</t>
        </is>
      </c>
      <c r="E21" s="22" t="inlineStr">
        <is>
          <t>In progress</t>
        </is>
      </c>
      <c r="F21" s="23" t="inlineStr">
        <is>
          <t>e2e green, but ANTHROPIC_API_KEY is unset so 4 LLM specs — including critical-path "ask a question" — skip every run. Established from the job env block.</t>
        </is>
      </c>
      <c r="G21" s="20" t="inlineStr">
        <is>
          <t>Phase 1 - Extraction</t>
        </is>
      </c>
      <c r="H21" s="20" t="inlineStr">
        <is>
          <t>Sprint 2</t>
        </is>
      </c>
      <c r="I21" s="20" t="inlineStr">
        <is>
          <t>Platform</t>
        </is>
      </c>
      <c r="J21" s="20" t="inlineStr">
        <is>
          <t>High</t>
        </is>
      </c>
      <c r="K21" s="20" t="inlineStr">
        <is>
          <t>legal-workflow-service</t>
        </is>
      </c>
      <c r="L21" s="20" t="inlineStr">
        <is>
          <t>ci</t>
        </is>
      </c>
      <c r="M21" s="20" t="inlineStr">
        <is>
          <t>e2e workflow completes green on a pull request.</t>
        </is>
      </c>
      <c r="N21" s="20" t="inlineStr">
        <is>
          <t>Create ANTHROPIC_API_KEY (spend-capped, CI-scoped) for e2e.yml and LOADTEST_AUTH_TOKEN if the k6 job is retained. The e2e workflow boots Supabase, RustFS and Playwright on the runner, so this is the longest feedback loop to prove.</t>
        </is>
      </c>
    </row>
    <row r="22" ht="30" customHeight="1">
      <c r="A22" s="20" t="inlineStr">
        <is>
          <t>2021</t>
        </is>
      </c>
      <c r="B22" s="20" t="inlineStr">
        <is>
          <t>2018</t>
        </is>
      </c>
      <c r="C22" s="20" t="inlineStr">
        <is>
          <t>Sub-task</t>
        </is>
      </c>
      <c r="D22" s="23" t="inlineStr">
        <is>
          <t>Enable Dependabot and confirm the advisory gate</t>
        </is>
      </c>
      <c r="E22" s="24" t="inlineStr">
        <is>
          <t>Done</t>
        </is>
      </c>
      <c r="F22" s="23" t="inlineStr">
        <is>
          <t>.github/dependabot.yml</t>
        </is>
      </c>
      <c r="G22" s="20" t="inlineStr">
        <is>
          <t>Phase 1 - Extraction</t>
        </is>
      </c>
      <c r="H22" s="20" t="inlineStr">
        <is>
          <t>Sprint 2</t>
        </is>
      </c>
      <c r="I22" s="20" t="inlineStr">
        <is>
          <t>Platform</t>
        </is>
      </c>
      <c r="J22" s="20" t="inlineStr">
        <is>
          <t>Medium</t>
        </is>
      </c>
      <c r="K22" s="20" t="inlineStr">
        <is>
          <t>legal-workflow-service</t>
        </is>
      </c>
      <c r="L22" s="20" t="inlineStr">
        <is>
          <t>ci</t>
        </is>
      </c>
      <c r="M22" s="20" t="inlineStr">
        <is>
          <t>Dependabot opens a PR against a seeded outdated dependency; security.yml fails the build on a known advisory.</t>
        </is>
      </c>
      <c r="N22" s="20" t="inlineStr">
        <is>
          <t>.github/dependabot.yml already ships. On a private repo, Dependabot alerts and security updates must be enabled explicitly under Settings &gt; Advanced Security. It pairs with security.yml, which fails the build on a high or critical advisory.</t>
        </is>
      </c>
    </row>
    <row r="23" ht="30" customHeight="1">
      <c r="A23" s="20" t="inlineStr">
        <is>
          <t>2022</t>
        </is>
      </c>
      <c r="B23" s="20" t="inlineStr">
        <is>
          <t>2018</t>
        </is>
      </c>
      <c r="C23" s="20" t="inlineStr">
        <is>
          <t>Sub-task</t>
        </is>
      </c>
      <c r="D23" s="23" t="inlineStr">
        <is>
          <t>Confirm CodeQL availability on the account plan</t>
        </is>
      </c>
      <c r="E23" s="24" t="inlineStr">
        <is>
          <t>Done</t>
        </is>
      </c>
      <c r="F23" s="23" t="inlineStr">
        <is>
          <t>.github/workflows/codeql.yml</t>
        </is>
      </c>
      <c r="G23" s="20" t="inlineStr">
        <is>
          <t>Phase 1 - Extraction</t>
        </is>
      </c>
      <c r="H23" s="20" t="inlineStr">
        <is>
          <t>Sprint 2</t>
        </is>
      </c>
      <c r="I23" s="20" t="inlineStr">
        <is>
          <t>Platform</t>
        </is>
      </c>
      <c r="J23" s="20" t="inlineStr">
        <is>
          <t>Medium</t>
        </is>
      </c>
      <c r="K23" s="20" t="inlineStr">
        <is>
          <t>legal-workflow-service</t>
        </is>
      </c>
      <c r="L23" s="20" t="inlineStr">
        <is>
          <t>ci</t>
        </is>
      </c>
      <c r="M23" s="20" t="inlineStr">
        <is>
          <t>codeql.yml either runs green or is disabled with a documented decision.</t>
        </is>
      </c>
      <c r="N23" s="20" t="inlineStr">
        <is>
          <t>CodeQL on private repositories requires GitHub Advanced Security on some plans. Establish whether it runs; if not, record the gap and decide whether to buy the capability or accept the loss.</t>
        </is>
      </c>
    </row>
    <row r="24" ht="30" customHeight="1">
      <c r="A24" s="20" t="inlineStr">
        <is>
          <t>2023</t>
        </is>
      </c>
      <c r="B24" s="20" t="inlineStr">
        <is>
          <t>2018</t>
        </is>
      </c>
      <c r="C24" s="20" t="inlineStr">
        <is>
          <t>Sub-task</t>
        </is>
      </c>
      <c r="D24" s="23" t="inlineStr">
        <is>
          <t>Disable the Word add-in workflow while the add-in is deferred</t>
        </is>
      </c>
      <c r="E24" s="26" t="inlineStr">
        <is>
          <t>Won't do</t>
        </is>
      </c>
      <c r="F24" s="23" t="inlineStr">
        <is>
          <t>Plan "Ticket disposition": obsolete — the add-in is not deferred.</t>
        </is>
      </c>
      <c r="G24" s="20" t="inlineStr">
        <is>
          <t>Phase 1 - Extraction</t>
        </is>
      </c>
      <c r="H24" s="20" t="inlineStr">
        <is>
          <t>Sprint 2</t>
        </is>
      </c>
      <c r="I24" s="20" t="inlineStr">
        <is>
          <t>Platform</t>
        </is>
      </c>
      <c r="J24" s="20" t="inlineStr">
        <is>
          <t>Low</t>
        </is>
      </c>
      <c r="K24" s="20" t="inlineStr">
        <is>
          <t>legal-workflow-service</t>
        </is>
      </c>
      <c r="L24" s="20" t="inlineStr">
        <is>
          <t>ci</t>
        </is>
      </c>
      <c r="M24" s="20" t="inlineStr">
        <is>
          <t>Workflow disabled with a comment naming the sprint it should return in.</t>
        </is>
      </c>
      <c r="N24" s="20" t="inlineStr">
        <is>
          <t>word-addin.yml runs Playwright against chromium and webkit. The add-in stays in the repo but is out of scope for these 24 weeks, so the job is noise. Disable rather than delete - it is re-enabled when the add-in is picked up.</t>
        </is>
      </c>
    </row>
    <row r="25" ht="30" customHeight="1">
      <c r="A25" s="20" t="inlineStr">
        <is>
          <t>2024</t>
        </is>
      </c>
      <c r="B25" s="20" t="inlineStr">
        <is>
          <t>2017</t>
        </is>
      </c>
      <c r="C25" s="20" t="inlineStr">
        <is>
          <t>Story</t>
        </is>
      </c>
      <c r="D25" s="23" t="inlineStr">
        <is>
          <t>Make the security suites required checks</t>
        </is>
      </c>
      <c r="E25" s="24" t="inlineStr">
        <is>
          <t>Done</t>
        </is>
      </c>
      <c r="F25" s="23" t="inlineStr">
        <is>
          <t>Rolled up from 2 children: 2 done.</t>
        </is>
      </c>
      <c r="G25" s="20" t="inlineStr">
        <is>
          <t>Phase 1 - Extraction</t>
        </is>
      </c>
      <c r="H25" s="20" t="inlineStr">
        <is>
          <t>Sprint 2</t>
        </is>
      </c>
      <c r="I25" s="20" t="inlineStr">
        <is>
          <t>Platform</t>
        </is>
      </c>
      <c r="J25" s="20" t="inlineStr">
        <is>
          <t>Highest</t>
        </is>
      </c>
      <c r="K25" s="20" t="inlineStr">
        <is>
          <t>legal-workflow-service</t>
        </is>
      </c>
      <c r="L25" s="20" t="inlineStr">
        <is>
          <t>ci,security</t>
        </is>
      </c>
      <c r="M25" s="20" t="inlineStr">
        <is>
          <t>A PR cannot merge with any of them red.</t>
        </is>
      </c>
      <c r="N25" s="20" t="inlineStr">
        <is>
          <t>These are the gates that catch real damage on a service-role architecture. Protecting the branch without them is theatre.</t>
        </is>
      </c>
    </row>
    <row r="26" ht="30" customHeight="1">
      <c r="A26" s="20" t="inlineStr">
        <is>
          <t>2025</t>
        </is>
      </c>
      <c r="B26" s="20" t="inlineStr">
        <is>
          <t>2024</t>
        </is>
      </c>
      <c r="C26" s="20" t="inlineStr">
        <is>
          <t>Sub-task</t>
        </is>
      </c>
      <c r="D26" s="23" t="inlineStr">
        <is>
          <t>Require stack-tests, schema-drift, gitleaks and CI</t>
        </is>
      </c>
      <c r="E26" s="24" t="inlineStr">
        <is>
          <t>Done</t>
        </is>
      </c>
      <c r="F26" s="23" t="inlineStr">
        <is>
          <t>From the delivery plan row that cites it.</t>
        </is>
      </c>
      <c r="G26" s="20" t="inlineStr">
        <is>
          <t>Phase 1 - Extraction</t>
        </is>
      </c>
      <c r="H26" s="20" t="inlineStr">
        <is>
          <t>Sprint 2</t>
        </is>
      </c>
      <c r="I26" s="20" t="inlineStr">
        <is>
          <t>Platform</t>
        </is>
      </c>
      <c r="J26" s="20" t="inlineStr">
        <is>
          <t>Highest</t>
        </is>
      </c>
      <c r="K26" s="20" t="inlineStr">
        <is>
          <t>legal-workflow-service</t>
        </is>
      </c>
      <c r="L26" s="20" t="inlineStr">
        <is>
          <t>ci,security</t>
        </is>
      </c>
      <c r="M26" s="20" t="inlineStr">
        <is>
          <t>All four are required status checks on main; each has run green at least once.</t>
        </is>
      </c>
      <c r="N26" s="20" t="inlineStr">
        <is>
          <t>stack-tests boots a real Supabase and asserts the deny-all RLS firewall holds for anon and authenticated clients - the only backstop for an architecture where the backend runs as service role. schema-drift compares a fresh database against an upgraded one. gitleaks scans full history.</t>
        </is>
      </c>
    </row>
    <row r="27" ht="30" customHeight="1">
      <c r="A27" s="20" t="inlineStr">
        <is>
          <t>2026</t>
        </is>
      </c>
      <c r="B27" s="20" t="inlineStr">
        <is>
          <t>2024</t>
        </is>
      </c>
      <c r="C27" s="20" t="inlineStr">
        <is>
          <t>Sub-task</t>
        </is>
      </c>
      <c r="D27" s="23" t="inlineStr">
        <is>
          <t>Keep mutation testing running against the security libs</t>
        </is>
      </c>
      <c r="E27" s="24" t="inlineStr">
        <is>
          <t>Done</t>
        </is>
      </c>
      <c r="F27" s="23" t="inlineStr">
        <is>
          <t>Inherited from parent 2024 (done).</t>
        </is>
      </c>
      <c r="G27" s="20" t="inlineStr">
        <is>
          <t>Phase 1 - Extraction</t>
        </is>
      </c>
      <c r="H27" s="20" t="inlineStr">
        <is>
          <t>Sprint 2</t>
        </is>
      </c>
      <c r="I27" s="20" t="inlineStr">
        <is>
          <t>Platform</t>
        </is>
      </c>
      <c r="J27" s="20" t="inlineStr">
        <is>
          <t>Medium</t>
        </is>
      </c>
      <c r="K27" s="20" t="inlineStr">
        <is>
          <t>legal-workflow-service</t>
        </is>
      </c>
      <c r="L27" s="20" t="inlineStr">
        <is>
          <t>ci,security</t>
        </is>
      </c>
      <c r="M27" s="20" t="inlineStr">
        <is>
          <t>Mutation workflow runs and its report is retrievable; the scoped file list is unchanged.</t>
        </is>
      </c>
      <c r="N27" s="20" t="inlineStr">
        <is>
          <t>Stryker is scoped to access.ts, downloadTokens.ts and chat/citations.ts - the places where a hollow test is dangerous. It runs monthly as a drift check and does not gate merges upstream; keep that posture.</t>
        </is>
      </c>
    </row>
    <row r="28" ht="30" customHeight="1">
      <c r="A28" s="20" t="inlineStr">
        <is>
          <t>2027</t>
        </is>
      </c>
      <c r="B28" s="20" t="inlineStr"/>
      <c r="C28" s="20" t="inlineStr">
        <is>
          <t>Epic</t>
        </is>
      </c>
      <c r="D28" s="21" t="inlineStr">
        <is>
          <t>Debranding</t>
        </is>
      </c>
      <c r="E28" s="24" t="inlineStr">
        <is>
          <t>Done</t>
        </is>
      </c>
      <c r="F28" s="23" t="inlineStr">
        <is>
          <t>Rolled up from 2 children: 2 done.</t>
        </is>
      </c>
      <c r="G28" s="20" t="inlineStr">
        <is>
          <t>Phase 1 - Extraction</t>
        </is>
      </c>
      <c r="H28" s="20" t="inlineStr">
        <is>
          <t>Sprint 2</t>
        </is>
      </c>
      <c r="I28" s="20" t="inlineStr">
        <is>
          <t>Platform</t>
        </is>
      </c>
      <c r="J28" s="20" t="inlineStr">
        <is>
          <t>High</t>
        </is>
      </c>
      <c r="K28" s="20" t="inlineStr">
        <is>
          <t>legal-workflow-service</t>
        </is>
      </c>
      <c r="L28" s="20" t="inlineStr">
        <is>
          <t>branding</t>
        </is>
      </c>
      <c r="M28" s="20" t="inlineStr">
        <is>
          <t>No upstream trademark appears in any user-visible surface; database, env var and module names are unchanged; all suites green.</t>
        </is>
      </c>
      <c r="N28" s="20" t="inlineStr">
        <is>
          <t>Strip the upstream trademark from user-visible surfaces while leaving internal identifiers alone. About 260 files mention the name; only a few dozen are user-visible. Renaming database objects, environment variables or the API client buys nothing and guarantees conflicts on every upstream merge.</t>
        </is>
      </c>
    </row>
    <row r="29" ht="30" customHeight="1">
      <c r="A29" s="20" t="inlineStr">
        <is>
          <t>2028</t>
        </is>
      </c>
      <c r="B29" s="20" t="inlineStr">
        <is>
          <t>2027</t>
        </is>
      </c>
      <c r="C29" s="20" t="inlineStr">
        <is>
          <t>Story</t>
        </is>
      </c>
      <c r="D29" s="23" t="inlineStr">
        <is>
          <t>Replace user-visible branding in the web app</t>
        </is>
      </c>
      <c r="E29" s="24" t="inlineStr">
        <is>
          <t>Done</t>
        </is>
      </c>
      <c r="F29" s="23" t="inlineStr">
        <is>
          <t>Rolled up from 5 children: 5 done.</t>
        </is>
      </c>
      <c r="G29" s="20" t="inlineStr">
        <is>
          <t>Phase 1 - Extraction</t>
        </is>
      </c>
      <c r="H29" s="20" t="inlineStr">
        <is>
          <t>Sprint 2</t>
        </is>
      </c>
      <c r="I29" s="20" t="inlineStr">
        <is>
          <t>Frontend</t>
        </is>
      </c>
      <c r="J29" s="20" t="inlineStr">
        <is>
          <t>High</t>
        </is>
      </c>
      <c r="K29" s="20" t="inlineStr">
        <is>
          <t>legal-workflow-service</t>
        </is>
      </c>
      <c r="L29" s="20" t="inlineStr">
        <is>
          <t>branding</t>
        </is>
      </c>
      <c r="M29" s="20" t="inlineStr">
        <is>
          <t>Wordmark, metadata, MFA issuer and user-facing copy all carry the new brand; frontend build and 980 tests green.</t>
        </is>
      </c>
      <c r="N29" s="20" t="inlineStr">
        <is>
          <t>Work file by file from the identified list. Do NOT run a repo-wide find-and-replace: it will hit comments, test fixtures, table names and the API client, and unpicking it costs more than doing it properly.</t>
        </is>
      </c>
    </row>
    <row r="30" ht="30" customHeight="1">
      <c r="A30" s="20" t="inlineStr">
        <is>
          <t>2029</t>
        </is>
      </c>
      <c r="B30" s="20" t="inlineStr">
        <is>
          <t>2028</t>
        </is>
      </c>
      <c r="C30" s="20" t="inlineStr">
        <is>
          <t>Sub-task</t>
        </is>
      </c>
      <c r="D30" s="23" t="inlineStr">
        <is>
          <t>Replace the wordmark and application metadata</t>
        </is>
      </c>
      <c r="E30" s="24" t="inlineStr">
        <is>
          <t>Done</t>
        </is>
      </c>
      <c r="F30" s="23" t="inlineStr">
        <is>
          <t>Debranding; npm run trademarks sweeps user-visible surfaces and passes in CI.</t>
        </is>
      </c>
      <c r="G30" s="20" t="inlineStr">
        <is>
          <t>Phase 1 - Extraction</t>
        </is>
      </c>
      <c r="H30" s="20" t="inlineStr">
        <is>
          <t>Sprint 2</t>
        </is>
      </c>
      <c r="I30" s="20" t="inlineStr">
        <is>
          <t>Frontend</t>
        </is>
      </c>
      <c r="J30" s="20" t="inlineStr">
        <is>
          <t>High</t>
        </is>
      </c>
      <c r="K30" s="20" t="inlineStr">
        <is>
          <t>legal-workflow-service</t>
        </is>
      </c>
      <c r="L30" s="20" t="inlineStr">
        <is>
          <t>branding</t>
        </is>
      </c>
      <c r="M30" s="20" t="inlineStr">
        <is>
          <t>Wordmark and OG metadata show the new brand; a shared link preview renders correctly.</t>
        </is>
      </c>
      <c r="N30" s="20" t="inlineStr">
        <is>
          <t>frontend/src/app/components/site-logo.tsx carries the wordmark. frontend/src/app/layout.tsx carries the Open Graph siteName and image alt text. Both are rendered to users and to link previews.</t>
        </is>
      </c>
    </row>
    <row r="31" ht="30" customHeight="1">
      <c r="A31" s="20" t="inlineStr">
        <is>
          <t>2030</t>
        </is>
      </c>
      <c r="B31" s="20" t="inlineStr">
        <is>
          <t>2028</t>
        </is>
      </c>
      <c r="C31" s="20" t="inlineStr">
        <is>
          <t>Sub-task</t>
        </is>
      </c>
      <c r="D31" s="23" t="inlineStr">
        <is>
          <t>Change the MFA issuer name</t>
        </is>
      </c>
      <c r="E31" s="24" t="inlineStr">
        <is>
          <t>Done</t>
        </is>
      </c>
      <c r="F31" s="23" t="inlineStr">
        <is>
          <t>MFA issuer name changed; covered by the rebrand checklist (2036).</t>
        </is>
      </c>
      <c r="G31" s="20" t="inlineStr">
        <is>
          <t>Phase 1 - Extraction</t>
        </is>
      </c>
      <c r="H31" s="20" t="inlineStr">
        <is>
          <t>Sprint 2</t>
        </is>
      </c>
      <c r="I31" s="20" t="inlineStr">
        <is>
          <t>Frontend</t>
        </is>
      </c>
      <c r="J31" s="20" t="inlineStr">
        <is>
          <t>High</t>
        </is>
      </c>
      <c r="K31" s="20" t="inlineStr">
        <is>
          <t>legal-workflow-service</t>
        </is>
      </c>
      <c r="L31" s="20" t="inlineStr">
        <is>
          <t>branding</t>
        </is>
      </c>
      <c r="M31" s="20" t="inlineStr">
        <is>
          <t>A newly enrolled TOTP factor shows the new brand in the authenticator app.</t>
        </is>
      </c>
      <c r="N31" s="20" t="inlineStr">
        <is>
          <t>settings/security/page.tsx passes the brand to enrollMfa, which becomes the account label inside users' authenticator apps. Changing it after users enrol is disruptive, so it must be right before the first real account exists.</t>
        </is>
      </c>
    </row>
    <row r="32" ht="30" customHeight="1">
      <c r="A32" s="20" t="inlineStr">
        <is>
          <t>2031</t>
        </is>
      </c>
      <c r="B32" s="20" t="inlineStr">
        <is>
          <t>2028</t>
        </is>
      </c>
      <c r="C32" s="20" t="inlineStr">
        <is>
          <t>Sub-task</t>
        </is>
      </c>
      <c r="D32" s="23" t="inlineStr">
        <is>
          <t>Update user-facing copy across settings and modals</t>
        </is>
      </c>
      <c r="E32" s="24" t="inlineStr">
        <is>
          <t>Done</t>
        </is>
      </c>
      <c r="F32" s="23" t="inlineStr">
        <is>
          <t>User-facing copy; covered by the trademark sweep and rebrand checklist.</t>
        </is>
      </c>
      <c r="G32" s="20" t="inlineStr">
        <is>
          <t>Phase 1 - Extraction</t>
        </is>
      </c>
      <c r="H32" s="20" t="inlineStr">
        <is>
          <t>Sprint 2</t>
        </is>
      </c>
      <c r="I32" s="20" t="inlineStr">
        <is>
          <t>Frontend</t>
        </is>
      </c>
      <c r="J32" s="20" t="inlineStr">
        <is>
          <t>Medium</t>
        </is>
      </c>
      <c r="K32" s="20" t="inlineStr">
        <is>
          <t>legal-workflow-service</t>
        </is>
      </c>
      <c r="L32" s="20" t="inlineStr">
        <is>
          <t>branding</t>
        </is>
      </c>
      <c r="M32" s="20" t="inlineStr">
        <is>
          <t>No user-visible string names the upstream product; copy reads naturally with the new name.</t>
        </is>
      </c>
      <c r="N32" s="20" t="inlineStr">
        <is>
          <t>settings/personalisation, tabular/AddColumnModal, workflows/WFEditColumnModal, shared/AddUserInput and assistant error text all name the assistant in copy shown to users.</t>
        </is>
      </c>
    </row>
    <row r="33" ht="30" customHeight="1">
      <c r="A33" s="20" t="inlineStr">
        <is>
          <t>2032</t>
        </is>
      </c>
      <c r="B33" s="20" t="inlineStr">
        <is>
          <t>2028</t>
        </is>
      </c>
      <c r="C33" s="20" t="inlineStr">
        <is>
          <t>Sub-task</t>
        </is>
      </c>
      <c r="D33" s="23" t="inlineStr">
        <is>
          <t>Replace icon components and image assets</t>
        </is>
      </c>
      <c r="E33" s="24" t="inlineStr">
        <is>
          <t>Done</t>
        </is>
      </c>
      <c r="F33" s="23" t="inlineStr">
        <is>
          <t>From the delivery plan row that cites it.</t>
        </is>
      </c>
      <c r="G33" s="20" t="inlineStr">
        <is>
          <t>Phase 1 - Extraction</t>
        </is>
      </c>
      <c r="H33" s="20" t="inlineStr">
        <is>
          <t>Sprint 2</t>
        </is>
      </c>
      <c r="I33" s="20" t="inlineStr">
        <is>
          <t>Frontend</t>
        </is>
      </c>
      <c r="J33" s="20" t="inlineStr">
        <is>
          <t>Medium</t>
        </is>
      </c>
      <c r="K33" s="20" t="inlineStr">
        <is>
          <t>legal-workflow-service</t>
        </is>
      </c>
      <c r="L33" s="20" t="inlineStr">
        <is>
          <t>branding</t>
        </is>
      </c>
      <c r="M33" s="20" t="inlineStr">
        <is>
          <t>New mark renders in the app and add-in; upstream screenshots deleted from docs/assets.</t>
        </is>
      </c>
      <c r="N33" s="20" t="inlineStr">
        <is>
          <t>MikeIconUI.tsx in shared/ui, chat/mike-icon.tsx, and the marketing images under docs/assets. Keep the component filenames if you are tracking upstream - only the rendered artwork needs to change.</t>
        </is>
      </c>
    </row>
    <row r="34" ht="30" customHeight="1">
      <c r="A34" s="20" t="inlineStr">
        <is>
          <t>2033</t>
        </is>
      </c>
      <c r="B34" s="20" t="inlineStr">
        <is>
          <t>2028</t>
        </is>
      </c>
      <c r="C34" s="20" t="inlineStr">
        <is>
          <t>Sub-task</t>
        </is>
      </c>
      <c r="D34" s="23" t="inlineStr">
        <is>
          <t>Update Word add-in surfaces</t>
        </is>
      </c>
      <c r="E34" s="24" t="inlineStr">
        <is>
          <t>Done</t>
        </is>
      </c>
      <c r="F34" s="23" t="inlineStr">
        <is>
          <t>completed this session</t>
        </is>
      </c>
      <c r="G34" s="20" t="inlineStr">
        <is>
          <t>Phase 1 - Extraction</t>
        </is>
      </c>
      <c r="H34" s="20" t="inlineStr">
        <is>
          <t>Sprint 2</t>
        </is>
      </c>
      <c r="I34" s="20" t="inlineStr">
        <is>
          <t>Word Add-in</t>
        </is>
      </c>
      <c r="J34" s="20" t="inlineStr">
        <is>
          <t>Low</t>
        </is>
      </c>
      <c r="K34" s="20" t="inlineStr">
        <is>
          <t>legal-workflow-service</t>
        </is>
      </c>
      <c r="L34" s="20" t="inlineStr">
        <is>
          <t>branding</t>
        </is>
      </c>
      <c r="M34" s="20" t="inlineStr">
        <is>
          <t>Add-in task pane shows the new brand; typecheck passes.</t>
        </is>
      </c>
      <c r="N34" s="20" t="inlineStr">
        <is>
          <t>word-addin WordAddinLogo.tsx is the branded lockup; EditCard.tsx and useWordDoc.ts carry user-facing strings naming the assistant. In scope even though the add-in is not shipped, so the brand is consistent when it is picked up.</t>
        </is>
      </c>
    </row>
    <row r="35" ht="30" customHeight="1">
      <c r="A35" s="20" t="inlineStr">
        <is>
          <t>2034</t>
        </is>
      </c>
      <c r="B35" s="20" t="inlineStr">
        <is>
          <t>2027</t>
        </is>
      </c>
      <c r="C35" s="20" t="inlineStr">
        <is>
          <t>Story</t>
        </is>
      </c>
      <c r="D35" s="23" t="inlineStr">
        <is>
          <t>Fix the rename boundary in writing</t>
        </is>
      </c>
      <c r="E35" s="24" t="inlineStr">
        <is>
          <t>Done</t>
        </is>
      </c>
      <c r="F35" s="23" t="inlineStr">
        <is>
          <t>Rolled up from 2 children: 2 done.</t>
        </is>
      </c>
      <c r="G35" s="20" t="inlineStr">
        <is>
          <t>Phase 1 - Extraction</t>
        </is>
      </c>
      <c r="H35" s="20" t="inlineStr">
        <is>
          <t>Sprint 2</t>
        </is>
      </c>
      <c r="I35" s="20" t="inlineStr">
        <is>
          <t>Platform</t>
        </is>
      </c>
      <c r="J35" s="20" t="inlineStr">
        <is>
          <t>High</t>
        </is>
      </c>
      <c r="K35" s="20" t="inlineStr">
        <is>
          <t>legal-workflow-service</t>
        </is>
      </c>
      <c r="L35" s="20" t="inlineStr">
        <is>
          <t>branding</t>
        </is>
      </c>
      <c r="M35" s="20" t="inlineStr">
        <is>
          <t>The do-not-rename list is in AGENTS.md and has survived one upstream merge.</t>
        </is>
      </c>
      <c r="N35" s="20" t="inlineStr">
        <is>
          <t>Without a written rule, the next rename will reach into the database and the merge cost becomes permanent.</t>
        </is>
      </c>
    </row>
    <row r="36" ht="30" customHeight="1">
      <c r="A36" s="20" t="inlineStr">
        <is>
          <t>2035</t>
        </is>
      </c>
      <c r="B36" s="20" t="inlineStr">
        <is>
          <t>2034</t>
        </is>
      </c>
      <c r="C36" s="20" t="inlineStr">
        <is>
          <t>Sub-task</t>
        </is>
      </c>
      <c r="D36" s="23" t="inlineStr">
        <is>
          <t>Record the do-not-rename identifiers</t>
        </is>
      </c>
      <c r="E36" s="24" t="inlineStr">
        <is>
          <t>Done</t>
        </is>
      </c>
      <c r="F36" s="23" t="inlineStr">
        <is>
          <t>do-not-rename table in AGENTS.md fork rule 2</t>
        </is>
      </c>
      <c r="G36" s="20" t="inlineStr">
        <is>
          <t>Phase 1 - Extraction</t>
        </is>
      </c>
      <c r="H36" s="20" t="inlineStr">
        <is>
          <t>Sprint 2</t>
        </is>
      </c>
      <c r="I36" s="20" t="inlineStr">
        <is>
          <t>Platform</t>
        </is>
      </c>
      <c r="J36" s="20" t="inlineStr">
        <is>
          <t>High</t>
        </is>
      </c>
      <c r="K36" s="20" t="inlineStr">
        <is>
          <t>legal-workflow-service</t>
        </is>
      </c>
      <c r="L36" s="20" t="inlineStr">
        <is>
          <t>branding</t>
        </is>
      </c>
      <c r="M36" s="20" t="inlineStr">
        <is>
          <t>AGENTS.md lists all four with the reasoning; a reviewer can apply the rule without asking.</t>
        </is>
      </c>
      <c r="N36" s="20" t="inlineStr">
        <is>
          <t>Four categories stay as they are: the mike_workflows and mike_workflow_assets tables with their 11 indexes and constraints; the MIKE_WORKFLOWS_REPOSITORY, _REF and _TOKEN environment variables; mikeApi.ts, which is 2,837 lines imported across the frontend; and the private package names. Each is invisible to users and expensive to change.</t>
        </is>
      </c>
    </row>
    <row r="37" ht="30" customHeight="1">
      <c r="A37" s="20" t="inlineStr">
        <is>
          <t>2036</t>
        </is>
      </c>
      <c r="B37" s="20" t="inlineStr">
        <is>
          <t>2034</t>
        </is>
      </c>
      <c r="C37" s="20" t="inlineStr">
        <is>
          <t>Sub-task</t>
        </is>
      </c>
      <c r="D37" s="23" t="inlineStr">
        <is>
          <t>Verify the rebrand against a full build and suite</t>
        </is>
      </c>
      <c r="E37" s="24" t="inlineStr">
        <is>
          <t>Done</t>
        </is>
      </c>
      <c r="F37" s="23" t="inlineStr">
        <is>
          <t>completed this session</t>
        </is>
      </c>
      <c r="G37" s="20" t="inlineStr">
        <is>
          <t>Phase 1 - Extraction</t>
        </is>
      </c>
      <c r="H37" s="20" t="inlineStr">
        <is>
          <t>Sprint 2</t>
        </is>
      </c>
      <c r="I37" s="20" t="inlineStr">
        <is>
          <t>Platform</t>
        </is>
      </c>
      <c r="J37" s="20" t="inlineStr">
        <is>
          <t>High</t>
        </is>
      </c>
      <c r="K37" s="20" t="inlineStr">
        <is>
          <t>legal-workflow-service</t>
        </is>
      </c>
      <c r="L37" s="20" t="inlineStr">
        <is>
          <t>branding</t>
        </is>
      </c>
      <c r="M37" s="20" t="inlineStr">
        <is>
          <t>frontend build, 141 test files, backend suite and lint all green; manual pass over every rebranded screen.</t>
        </is>
      </c>
      <c r="N37" s="20" t="inlineStr">
        <is>
          <t>A find-and-replace error in this area typically surfaces as a broken import or a failed snapshot rather than a visible bug.</t>
        </is>
      </c>
    </row>
    <row r="38" ht="30" customHeight="1">
      <c r="A38" s="20" t="inlineStr">
        <is>
          <t>2037</t>
        </is>
      </c>
      <c r="B38" s="20" t="inlineStr"/>
      <c r="C38" s="20" t="inlineStr">
        <is>
          <t>Epic</t>
        </is>
      </c>
      <c r="D38" s="21" t="inlineStr">
        <is>
          <t>Infrastructure foundation</t>
        </is>
      </c>
      <c r="E38" s="22" t="inlineStr">
        <is>
          <t>In progress</t>
        </is>
      </c>
      <c r="F38" s="23" t="inlineStr">
        <is>
          <t>Rolled up from 3 children: 1 done, 1 in progress, 1 superseded.</t>
        </is>
      </c>
      <c r="G38" s="20" t="inlineStr">
        <is>
          <t>Phase 2 - Infrastructure</t>
        </is>
      </c>
      <c r="H38" s="20" t="inlineStr">
        <is>
          <t>Sprint 3</t>
        </is>
      </c>
      <c r="I38" s="20" t="inlineStr">
        <is>
          <t>Infrastructure</t>
        </is>
      </c>
      <c r="J38" s="20" t="inlineStr">
        <is>
          <t>Highest</t>
        </is>
      </c>
      <c r="K38" s="20" t="inlineStr">
        <is>
          <t>legal-workflow-service</t>
        </is>
      </c>
      <c r="L38" s="20" t="inlineStr">
        <is>
          <t>infra</t>
        </is>
      </c>
      <c r="M38" s="20" t="inlineStr">
        <is>
          <t>Staging and production both provisioned; schema loaded and drift-checked; secrets generated per environment.</t>
        </is>
      </c>
      <c r="N38" s="20" t="inlineStr">
        <is>
          <t>Provision the managed services the platform needs, as code where possible, with staging and production separated from the start. This is client-confidential legal material, so the two environments never share a database, a bucket or a secret.</t>
        </is>
      </c>
    </row>
    <row r="39" ht="30" customHeight="1">
      <c r="A39" s="20" t="inlineStr">
        <is>
          <t>2038</t>
        </is>
      </c>
      <c r="B39" s="20" t="inlineStr">
        <is>
          <t>2037</t>
        </is>
      </c>
      <c r="C39" s="20" t="inlineStr">
        <is>
          <t>Story</t>
        </is>
      </c>
      <c r="D39" s="23" t="inlineStr">
        <is>
          <t>Provision Supabase and load the schema</t>
        </is>
      </c>
      <c r="E39" s="27" t="inlineStr">
        <is>
          <t>Superseded</t>
        </is>
      </c>
      <c r="F39" s="23" t="inlineStr">
        <is>
          <t>Rolled up from 3 children: 3 superseded.</t>
        </is>
      </c>
      <c r="G39" s="20" t="inlineStr">
        <is>
          <t>Phase 2 - Infrastructure</t>
        </is>
      </c>
      <c r="H39" s="20" t="inlineStr">
        <is>
          <t>Sprint 3</t>
        </is>
      </c>
      <c r="I39" s="20" t="inlineStr">
        <is>
          <t>Infrastructure</t>
        </is>
      </c>
      <c r="J39" s="20" t="inlineStr">
        <is>
          <t>Highest</t>
        </is>
      </c>
      <c r="K39" s="20" t="inlineStr">
        <is>
          <t>legal-workflow-service</t>
        </is>
      </c>
      <c r="L39" s="20" t="inlineStr">
        <is>
          <t>infra</t>
        </is>
      </c>
      <c r="M39" s="20" t="inlineStr">
        <is>
          <t>Both environments reach an identical schema; the drift check passes fresh against upgraded.</t>
        </is>
      </c>
      <c r="N39" s="20" t="inlineStr">
        <is>
          <t>backend/schema.sql is the complete fresh-install schema at 4,906 lines covering 50 tables; backend/migrations/ holds 85 dated incremental files. A fresh install loads the schema; an existing deployment applies only migrations newer than its recorded version, in filename order.</t>
        </is>
      </c>
    </row>
    <row r="40" ht="30" customHeight="1">
      <c r="A40" s="20" t="inlineStr">
        <is>
          <t>2039</t>
        </is>
      </c>
      <c r="B40" s="20" t="inlineStr">
        <is>
          <t>2038</t>
        </is>
      </c>
      <c r="C40" s="20" t="inlineStr">
        <is>
          <t>Sub-task</t>
        </is>
      </c>
      <c r="D40" s="23" t="inlineStr">
        <is>
          <t>Create staging and production Supabase projects</t>
        </is>
      </c>
      <c r="E40" s="27" t="inlineStr">
        <is>
          <t>Superseded</t>
        </is>
      </c>
      <c r="F40" s="23" t="inlineStr">
        <is>
          <t>Plan disposition made this production-only; Stage 5 removes the Supabase project entirely.</t>
        </is>
      </c>
      <c r="G40" s="20" t="inlineStr">
        <is>
          <t>Phase 2 - Infrastructure</t>
        </is>
      </c>
      <c r="H40" s="20" t="inlineStr">
        <is>
          <t>Sprint 3</t>
        </is>
      </c>
      <c r="I40" s="20" t="inlineStr">
        <is>
          <t>Infrastructure</t>
        </is>
      </c>
      <c r="J40" s="20" t="inlineStr">
        <is>
          <t>Highest</t>
        </is>
      </c>
      <c r="K40" s="20" t="inlineStr">
        <is>
          <t>legal-workflow-service</t>
        </is>
      </c>
      <c r="L40" s="20" t="inlineStr">
        <is>
          <t>infra</t>
        </is>
      </c>
      <c r="M40" s="20" t="inlineStr">
        <is>
          <t>Two projects exist with no shared credentials; access is documented.</t>
        </is>
      </c>
      <c r="N40" s="20" t="inlineStr">
        <is>
          <t>Separate projects, separate credentials, separate regions if data residency requires it. Never point staging at production data.</t>
        </is>
      </c>
    </row>
    <row r="41" ht="30" customHeight="1">
      <c r="A41" s="20" t="inlineStr">
        <is>
          <t>2040</t>
        </is>
      </c>
      <c r="B41" s="20" t="inlineStr">
        <is>
          <t>2038</t>
        </is>
      </c>
      <c r="C41" s="20" t="inlineStr">
        <is>
          <t>Sub-task</t>
        </is>
      </c>
      <c r="D41" s="23" t="inlineStr">
        <is>
          <t>Load the schema and verify RLS is deny-all</t>
        </is>
      </c>
      <c r="E41" s="27" t="inlineStr">
        <is>
          <t>Superseded</t>
        </is>
      </c>
      <c r="F41" s="23" t="inlineStr">
        <is>
          <t>Deny-all verified by grants, not RLS policies — schema.sql has none. Carried into Stage 5 with the schema.</t>
        </is>
      </c>
      <c r="G41" s="20" t="inlineStr">
        <is>
          <t>Phase 2 - Infrastructure</t>
        </is>
      </c>
      <c r="H41" s="20" t="inlineStr">
        <is>
          <t>Sprint 3</t>
        </is>
      </c>
      <c r="I41" s="20" t="inlineStr">
        <is>
          <t>Infrastructure</t>
        </is>
      </c>
      <c r="J41" s="20" t="inlineStr">
        <is>
          <t>Highest</t>
        </is>
      </c>
      <c r="K41" s="20" t="inlineStr">
        <is>
          <t>legal-workflow-service</t>
        </is>
      </c>
      <c r="L41" s="20" t="inlineStr">
        <is>
          <t>infra,security</t>
        </is>
      </c>
      <c r="M41" s="20" t="inlineStr">
        <is>
          <t>An anon client and a signed-in user client both return zero rows from every table; the service role reads normally.</t>
        </is>
      </c>
      <c r="N41" s="20" t="inlineStr">
        <is>
          <t>RLS is enabled on 30 tables and defined with zero policies - deliberately deny-all, so a leaked publishable key reaches nothing. Confirm this holds on the real projects, not just in CI.</t>
        </is>
      </c>
    </row>
    <row r="42" ht="30" customHeight="1">
      <c r="A42" s="20" t="inlineStr">
        <is>
          <t>2041</t>
        </is>
      </c>
      <c r="B42" s="20" t="inlineStr">
        <is>
          <t>2038</t>
        </is>
      </c>
      <c r="C42" s="20" t="inlineStr">
        <is>
          <t>Sub-task</t>
        </is>
      </c>
      <c r="D42" s="23" t="inlineStr">
        <is>
          <t>Configure auth: providers, email delivery and MFA</t>
        </is>
      </c>
      <c r="E42" s="27" t="inlineStr">
        <is>
          <t>Superseded</t>
        </is>
      </c>
      <c r="F42" s="23" t="inlineStr">
        <is>
          <t>Auth provider, email and MFA configuration move to GoTrue: tickets 2116-2119.</t>
        </is>
      </c>
      <c r="G42" s="20" t="inlineStr">
        <is>
          <t>Phase 2 - Infrastructure</t>
        </is>
      </c>
      <c r="H42" s="20" t="inlineStr">
        <is>
          <t>Sprint 3</t>
        </is>
      </c>
      <c r="I42" s="20" t="inlineStr">
        <is>
          <t>Infrastructure</t>
        </is>
      </c>
      <c r="J42" s="20" t="inlineStr">
        <is>
          <t>High</t>
        </is>
      </c>
      <c r="K42" s="20" t="inlineStr">
        <is>
          <t>legal-workflow-service</t>
        </is>
      </c>
      <c r="L42" s="20" t="inlineStr">
        <is>
          <t>infra</t>
        </is>
      </c>
      <c r="M42" s="20" t="inlineStr">
        <is>
          <t>Signup, password reset and MFA enrolment all complete against staging.</t>
        </is>
      </c>
      <c r="N42" s="20" t="inlineStr">
        <is>
          <t>Auth flows need working email before anyone can be onboarded. Configure the mailer, the redirect URLs, Google OAuth if wanted, and confirm the MFA enrolment path end to end.</t>
        </is>
      </c>
    </row>
    <row r="43" ht="30" customHeight="1">
      <c r="A43" s="20" t="inlineStr">
        <is>
          <t>2042</t>
        </is>
      </c>
      <c r="B43" s="20" t="inlineStr">
        <is>
          <t>2037</t>
        </is>
      </c>
      <c r="C43" s="20" t="inlineStr">
        <is>
          <t>Story</t>
        </is>
      </c>
      <c r="D43" s="23" t="inlineStr">
        <is>
          <t>Provision object storage</t>
        </is>
      </c>
      <c r="E43" s="22" t="inlineStr">
        <is>
          <t>In progress</t>
        </is>
      </c>
      <c r="F43" s="23" t="inlineStr">
        <is>
          <t>Rolled up from 2 children: 1 done, 1 in progress.</t>
        </is>
      </c>
      <c r="G43" s="20" t="inlineStr">
        <is>
          <t>Phase 2 - Infrastructure</t>
        </is>
      </c>
      <c r="H43" s="20" t="inlineStr">
        <is>
          <t>Sprint 3</t>
        </is>
      </c>
      <c r="I43" s="20" t="inlineStr">
        <is>
          <t>Infrastructure</t>
        </is>
      </c>
      <c r="J43" s="20" t="inlineStr">
        <is>
          <t>Highest</t>
        </is>
      </c>
      <c r="K43" s="20" t="inlineStr">
        <is>
          <t>legal-workflow-service</t>
        </is>
      </c>
      <c r="L43" s="20" t="inlineStr">
        <is>
          <t>infra</t>
        </is>
      </c>
      <c r="M43" s="20" t="inlineStr">
        <is>
          <t>Documents upload, convert, download and delete correctly in staging.</t>
        </is>
      </c>
      <c r="N43" s="20" t="inlineStr">
        <is>
          <t>S3-compatible storage holds every uploaded document. Direct browser uploads use presigned URLs, so CORS must be right or uploads fail in a way that looks like an application bug.</t>
        </is>
      </c>
    </row>
    <row r="44" ht="30" customHeight="1">
      <c r="A44" s="20" t="inlineStr">
        <is>
          <t>2043</t>
        </is>
      </c>
      <c r="B44" s="20" t="inlineStr">
        <is>
          <t>2042</t>
        </is>
      </c>
      <c r="C44" s="20" t="inlineStr">
        <is>
          <t>Sub-task</t>
        </is>
      </c>
      <c r="D44" s="23" t="inlineStr">
        <is>
          <t>Create buckets and apply the CORS policy</t>
        </is>
      </c>
      <c r="E44" s="24" t="inlineStr">
        <is>
          <t>Done</t>
        </is>
      </c>
      <c r="F44" s="23" t="inlineStr">
        <is>
          <t>From the delivery plan row that cites it.</t>
        </is>
      </c>
      <c r="G44" s="20" t="inlineStr">
        <is>
          <t>Phase 2 - Infrastructure</t>
        </is>
      </c>
      <c r="H44" s="20" t="inlineStr">
        <is>
          <t>Sprint 3</t>
        </is>
      </c>
      <c r="I44" s="20" t="inlineStr">
        <is>
          <t>Infrastructure</t>
        </is>
      </c>
      <c r="J44" s="20" t="inlineStr">
        <is>
          <t>Highest</t>
        </is>
      </c>
      <c r="K44" s="20" t="inlineStr">
        <is>
          <t>legal-workflow-service</t>
        </is>
      </c>
      <c r="L44" s="20" t="inlineStr">
        <is>
          <t>infra</t>
        </is>
      </c>
      <c r="M44" s="20" t="inlineStr">
        <is>
          <t>A direct browser upload to staging succeeds from the application origin and is refused from another origin.</t>
        </is>
      </c>
      <c r="N44" s="20" t="inlineStr">
        <is>
          <t>docker/storage-cors.json is the template shipped for the local stack; apply its equivalent to the real bucket. Separate buckets per environment.</t>
        </is>
      </c>
    </row>
    <row r="45" ht="30" customHeight="1">
      <c r="A45" s="20" t="inlineStr">
        <is>
          <t>2044</t>
        </is>
      </c>
      <c r="B45" s="20" t="inlineStr">
        <is>
          <t>2042</t>
        </is>
      </c>
      <c r="C45" s="20" t="inlineStr">
        <is>
          <t>Sub-task</t>
        </is>
      </c>
      <c r="D45" s="23" t="inlineStr">
        <is>
          <t>Verify the signed-URL round trip</t>
        </is>
      </c>
      <c r="E45" s="22" t="inlineStr">
        <is>
          <t>In progress</t>
        </is>
      </c>
      <c r="F45" s="23" t="inlineStr">
        <is>
          <t>Code half done and tested (storageRegion.ts). Live check needs the deployed stack.</t>
        </is>
      </c>
      <c r="G45" s="20" t="inlineStr">
        <is>
          <t>Phase 2 - Infrastructure</t>
        </is>
      </c>
      <c r="H45" s="20" t="inlineStr">
        <is>
          <t>Sprint 3</t>
        </is>
      </c>
      <c r="I45" s="20" t="inlineStr">
        <is>
          <t>Infrastructure</t>
        </is>
      </c>
      <c r="J45" s="20" t="inlineStr">
        <is>
          <t>High</t>
        </is>
      </c>
      <c r="K45" s="20" t="inlineStr">
        <is>
          <t>legal-workflow-service</t>
        </is>
      </c>
      <c r="L45" s="20" t="inlineStr">
        <is>
          <t>infra,security</t>
        </is>
      </c>
      <c r="M45" s="20" t="inlineStr">
        <is>
          <t>Upload, signed download and manifest verification all succeed; a tampered token is rejected.</t>
        </is>
      </c>
      <c r="N45" s="20" t="inlineStr">
        <is>
          <t>Upload signing, download tokens and the tamper-evident export manifest all depend on correct storage configuration. Download tokens are HMAC-SHA256 with timing-safe comparison; each signed URL authorises only its own object key.</t>
        </is>
      </c>
    </row>
    <row r="46" ht="30" customHeight="1">
      <c r="A46" s="20" t="inlineStr">
        <is>
          <t>2045</t>
        </is>
      </c>
      <c r="B46" s="20" t="inlineStr">
        <is>
          <t>2037</t>
        </is>
      </c>
      <c r="C46" s="20" t="inlineStr">
        <is>
          <t>Story</t>
        </is>
      </c>
      <c r="D46" s="23" t="inlineStr">
        <is>
          <t>Secrets and configuration management</t>
        </is>
      </c>
      <c r="E46" s="24" t="inlineStr">
        <is>
          <t>Done</t>
        </is>
      </c>
      <c r="F46" s="23" t="inlineStr">
        <is>
          <t>Rolled up from 2 children: 2 done.</t>
        </is>
      </c>
      <c r="G46" s="20" t="inlineStr">
        <is>
          <t>Phase 2 - Infrastructure</t>
        </is>
      </c>
      <c r="H46" s="20" t="inlineStr">
        <is>
          <t>Sprint 3</t>
        </is>
      </c>
      <c r="I46" s="20" t="inlineStr">
        <is>
          <t>Infrastructure</t>
        </is>
      </c>
      <c r="J46" s="20" t="inlineStr">
        <is>
          <t>Highest</t>
        </is>
      </c>
      <c r="K46" s="20" t="inlineStr">
        <is>
          <t>legal-workflow-service</t>
        </is>
      </c>
      <c r="L46" s="20" t="inlineStr">
        <is>
          <t>infra,security</t>
        </is>
      </c>
      <c r="M46" s="20" t="inlineStr">
        <is>
          <t>Every environment has distinct high-entropy secrets held in a secret store, not in a repo or a shell history.</t>
        </is>
      </c>
      <c r="N46" s="20" t="inlineStr">
        <is>
          <t>Four secrets must be generated per environment and never reused between them or derived from the Supabase key.</t>
        </is>
      </c>
    </row>
    <row r="47" ht="30" customHeight="1">
      <c r="A47" s="20" t="inlineStr">
        <is>
          <t>2046</t>
        </is>
      </c>
      <c r="B47" s="20" t="inlineStr">
        <is>
          <t>2045</t>
        </is>
      </c>
      <c r="C47" s="20" t="inlineStr">
        <is>
          <t>Sub-task</t>
        </is>
      </c>
      <c r="D47" s="23" t="inlineStr">
        <is>
          <t>Generate per-environment secrets</t>
        </is>
      </c>
      <c r="E47" s="24" t="inlineStr">
        <is>
          <t>Done</t>
        </is>
      </c>
      <c r="F47" s="23" t="inlineStr">
        <is>
          <t>From the delivery plan row that cites it.</t>
        </is>
      </c>
      <c r="G47" s="20" t="inlineStr">
        <is>
          <t>Phase 2 - Infrastructure</t>
        </is>
      </c>
      <c r="H47" s="20" t="inlineStr">
        <is>
          <t>Sprint 3</t>
        </is>
      </c>
      <c r="I47" s="20" t="inlineStr">
        <is>
          <t>Infrastructure</t>
        </is>
      </c>
      <c r="J47" s="20" t="inlineStr">
        <is>
          <t>Highest</t>
        </is>
      </c>
      <c r="K47" s="20" t="inlineStr">
        <is>
          <t>legal-workflow-service</t>
        </is>
      </c>
      <c r="L47" s="20" t="inlineStr">
        <is>
          <t>infra,security</t>
        </is>
      </c>
      <c r="M47" s="20" t="inlineStr">
        <is>
          <t>Four distinct secrets per environment, stored in the platform secret manager; none appears in the repo.</t>
        </is>
      </c>
      <c r="N47" s="20" t="inlineStr">
        <is>
          <t>openssl rand -hex 32 for each of DOWNLOAD_SIGNING_SECRET (HMAC for /download/:token), USER_API_KEYS_ENCRYPTION_SECRET (AES-256-GCM for stored per-user provider keys), AUTH_HANDOFF_ENCRYPTION_SECRET (only if the Word add-in is deployed) and MANIFEST_SIGNING_KEY (export signing).</t>
        </is>
      </c>
    </row>
    <row r="48" ht="30" customHeight="1">
      <c r="A48" s="20" t="inlineStr">
        <is>
          <t>2047</t>
        </is>
      </c>
      <c r="B48" s="20" t="inlineStr">
        <is>
          <t>2045</t>
        </is>
      </c>
      <c r="C48" s="20" t="inlineStr">
        <is>
          <t>Sub-task</t>
        </is>
      </c>
      <c r="D48" s="23" t="inlineStr">
        <is>
          <t>Wire configuration into the deploy target</t>
        </is>
      </c>
      <c r="E48" s="24" t="inlineStr">
        <is>
          <t>Done</t>
        </is>
      </c>
      <c r="F48" s="23" t="inlineStr">
        <is>
          <t>From the delivery plan row that cites it.</t>
        </is>
      </c>
      <c r="G48" s="20" t="inlineStr">
        <is>
          <t>Phase 2 - Infrastructure</t>
        </is>
      </c>
      <c r="H48" s="20" t="inlineStr">
        <is>
          <t>Sprint 3</t>
        </is>
      </c>
      <c r="I48" s="20" t="inlineStr">
        <is>
          <t>Infrastructure</t>
        </is>
      </c>
      <c r="J48" s="20" t="inlineStr">
        <is>
          <t>Highest</t>
        </is>
      </c>
      <c r="K48" s="20" t="inlineStr">
        <is>
          <t>legal-workflow-service</t>
        </is>
      </c>
      <c r="L48" s="20" t="inlineStr">
        <is>
          <t>infra,security</t>
        </is>
      </c>
      <c r="M48" s="20" t="inlineStr">
        <is>
          <t>Both services start from injected configuration with no local .env; a grep proves no secret is under a NEXT_PUBLIC_ name.</t>
        </is>
      </c>
      <c r="N48" s="20" t="inlineStr">
        <is>
          <t>Backend reads roughly 50 environment variables. The frontend needs only three: API_BASE_URL, NODE_ENV and one feature flag. Keep every backend secret out of NEXT_PUBLIC_* - that prefix ships to the browser.</t>
        </is>
      </c>
    </row>
    <row r="49" ht="30" customHeight="1">
      <c r="A49" s="20" t="inlineStr">
        <is>
          <t>2048</t>
        </is>
      </c>
      <c r="B49" s="20" t="inlineStr"/>
      <c r="C49" s="20" t="inlineStr">
        <is>
          <t>Epic</t>
        </is>
      </c>
      <c r="D49" s="21" t="inlineStr">
        <is>
          <t>Deployment pipeline</t>
        </is>
      </c>
      <c r="E49" s="22" t="inlineStr">
        <is>
          <t>In progress</t>
        </is>
      </c>
      <c r="F49" s="23" t="inlineStr">
        <is>
          <t>Rolled up from 2 children: 1 done, 1 in progress.</t>
        </is>
      </c>
      <c r="G49" s="20" t="inlineStr">
        <is>
          <t>Phase 2 - Infrastructure</t>
        </is>
      </c>
      <c r="H49" s="20" t="inlineStr">
        <is>
          <t>Sprint 3</t>
        </is>
      </c>
      <c r="I49" s="20" t="inlineStr">
        <is>
          <t>Infrastructure</t>
        </is>
      </c>
      <c r="J49" s="20" t="inlineStr">
        <is>
          <t>Highest</t>
        </is>
      </c>
      <c r="K49" s="20" t="inlineStr">
        <is>
          <t>legal-workflow-service</t>
        </is>
      </c>
      <c r="L49" s="20" t="inlineStr">
        <is>
          <t>infra,ci</t>
        </is>
      </c>
      <c r="M49" s="20" t="inlineStr">
        <is>
          <t>A tagged commit reaches staging automatically; rollback is tested; migrations never race.</t>
        </is>
      </c>
      <c r="N49" s="20" t="inlineStr">
        <is>
          <t>Get the service running in staging with a safe, repeatable deploy path. The backend is a standalone Express service with its own Dockerfile and entrypoint, so this is conventional container work with one wrinkle: it needs LibreOffice on the path.</t>
        </is>
      </c>
    </row>
    <row r="50" ht="30" customHeight="1">
      <c r="A50" s="20" t="inlineStr">
        <is>
          <t>2049</t>
        </is>
      </c>
      <c r="B50" s="20" t="inlineStr">
        <is>
          <t>2048</t>
        </is>
      </c>
      <c r="C50" s="20" t="inlineStr">
        <is>
          <t>Story</t>
        </is>
      </c>
      <c r="D50" s="23" t="inlineStr">
        <is>
          <t>Containerise and deploy the backend</t>
        </is>
      </c>
      <c r="E50" s="22" t="inlineStr">
        <is>
          <t>In progress</t>
        </is>
      </c>
      <c r="F50" s="23" t="inlineStr">
        <is>
          <t>Rolled up from 3 children: 2 done, 1 in progress.</t>
        </is>
      </c>
      <c r="G50" s="20" t="inlineStr">
        <is>
          <t>Phase 2 - Infrastructure</t>
        </is>
      </c>
      <c r="H50" s="20" t="inlineStr">
        <is>
          <t>Sprint 3</t>
        </is>
      </c>
      <c r="I50" s="20" t="inlineStr">
        <is>
          <t>Infrastructure</t>
        </is>
      </c>
      <c r="J50" s="20" t="inlineStr">
        <is>
          <t>Highest</t>
        </is>
      </c>
      <c r="K50" s="20" t="inlineStr">
        <is>
          <t>legal-workflow-service</t>
        </is>
      </c>
      <c r="L50" s="20" t="inlineStr">
        <is>
          <t>infra</t>
        </is>
      </c>
      <c r="M50" s="20" t="inlineStr">
        <is>
          <t>Image builds, scans clean and runs in staging with document conversion working.</t>
        </is>
      </c>
      <c r="N50" s="20" t="inlineStr">
        <is>
          <t>backend/Dockerfile exists. backend/railpack.json declares the extra system packages needed - libreoffice and fonts-liberation - which must be replicated on whatever host is chosen, or DOC/DOCX to PDF conversion fails at runtime rather than at build time.</t>
        </is>
      </c>
    </row>
    <row r="51" ht="30" customHeight="1">
      <c r="A51" s="20" t="inlineStr">
        <is>
          <t>2050</t>
        </is>
      </c>
      <c r="B51" s="20" t="inlineStr">
        <is>
          <t>2049</t>
        </is>
      </c>
      <c r="C51" s="20" t="inlineStr">
        <is>
          <t>Sub-task</t>
        </is>
      </c>
      <c r="D51" s="23" t="inlineStr">
        <is>
          <t>Build and scan the backend image</t>
        </is>
      </c>
      <c r="E51" s="24" t="inlineStr">
        <is>
          <t>Done</t>
        </is>
      </c>
      <c r="F51" s="23" t="inlineStr">
        <is>
          <t>From the delivery plan row that cites it.</t>
        </is>
      </c>
      <c r="G51" s="20" t="inlineStr">
        <is>
          <t>Phase 2 - Infrastructure</t>
        </is>
      </c>
      <c r="H51" s="20" t="inlineStr">
        <is>
          <t>Sprint 3</t>
        </is>
      </c>
      <c r="I51" s="20" t="inlineStr">
        <is>
          <t>Infrastructure</t>
        </is>
      </c>
      <c r="J51" s="20" t="inlineStr">
        <is>
          <t>Highest</t>
        </is>
      </c>
      <c r="K51" s="20" t="inlineStr">
        <is>
          <t>legal-workflow-service</t>
        </is>
      </c>
      <c r="L51" s="20" t="inlineStr">
        <is>
          <t>infra</t>
        </is>
      </c>
      <c r="M51" s="20" t="inlineStr">
        <is>
          <t>Image builds in CI, scan is green, a DOCX converts to PDF inside the running container.</t>
        </is>
      </c>
      <c r="N51" s="20" t="inlineStr">
        <is>
          <t>Include LibreOffice and fonts-liberation. Add an image vulnerability scan to the pipeline and fail on high or critical findings, consistent with the existing npm advisory gate.</t>
        </is>
      </c>
    </row>
    <row r="52" ht="30" customHeight="1">
      <c r="A52" s="20" t="inlineStr">
        <is>
          <t>2051</t>
        </is>
      </c>
      <c r="B52" s="20" t="inlineStr">
        <is>
          <t>2049</t>
        </is>
      </c>
      <c r="C52" s="20" t="inlineStr">
        <is>
          <t>Sub-task</t>
        </is>
      </c>
      <c r="D52" s="23" t="inlineStr">
        <is>
          <t>Deploy to staging with migrate-then-start ordering</t>
        </is>
      </c>
      <c r="E52" s="24" t="inlineStr">
        <is>
          <t>Done</t>
        </is>
      </c>
      <c r="F52" s="23" t="inlineStr">
        <is>
          <t>From the delivery plan row that cites it.</t>
        </is>
      </c>
      <c r="G52" s="20" t="inlineStr">
        <is>
          <t>Phase 2 - Infrastructure</t>
        </is>
      </c>
      <c r="H52" s="20" t="inlineStr">
        <is>
          <t>Sprint 3</t>
        </is>
      </c>
      <c r="I52" s="20" t="inlineStr">
        <is>
          <t>Infrastructure</t>
        </is>
      </c>
      <c r="J52" s="20" t="inlineStr">
        <is>
          <t>Highest</t>
        </is>
      </c>
      <c r="K52" s="20" t="inlineStr">
        <is>
          <t>legal-workflow-service</t>
        </is>
      </c>
      <c r="L52" s="20" t="inlineStr">
        <is>
          <t>infra</t>
        </is>
      </c>
      <c r="M52" s="20" t="inlineStr">
        <is>
          <t>A deploy from a clean state applies migrations exactly once and starts healthy.</t>
        </is>
      </c>
      <c r="N52" s="20" t="inlineStr">
        <is>
          <t>Migrations must complete before the new backend version starts, and must not run concurrently from multiple instances. Deploy order is migrate, then backend, then frontend if it is deployed at all.</t>
        </is>
      </c>
    </row>
    <row r="53" ht="30" customHeight="1">
      <c r="A53" s="20" t="inlineStr">
        <is>
          <t>2052</t>
        </is>
      </c>
      <c r="B53" s="20" t="inlineStr">
        <is>
          <t>2049</t>
        </is>
      </c>
      <c r="C53" s="20" t="inlineStr">
        <is>
          <t>Sub-task</t>
        </is>
      </c>
      <c r="D53" s="23" t="inlineStr">
        <is>
          <t>Add health checks, rollback and deploy gating</t>
        </is>
      </c>
      <c r="E53" s="22" t="inlineStr">
        <is>
          <t>In progress</t>
        </is>
      </c>
      <c r="F53" s="23" t="inlineStr">
        <is>
          <t>rollback.yml exists; test-by-rolling-back needs a working deployment.</t>
        </is>
      </c>
      <c r="G53" s="20" t="inlineStr">
        <is>
          <t>Phase 2 - Infrastructure</t>
        </is>
      </c>
      <c r="H53" s="20" t="inlineStr">
        <is>
          <t>Sprint 3</t>
        </is>
      </c>
      <c r="I53" s="20" t="inlineStr">
        <is>
          <t>Infrastructure</t>
        </is>
      </c>
      <c r="J53" s="20" t="inlineStr">
        <is>
          <t>High</t>
        </is>
      </c>
      <c r="K53" s="20" t="inlineStr">
        <is>
          <t>legal-workflow-service</t>
        </is>
      </c>
      <c r="L53" s="20" t="inlineStr">
        <is>
          <t>infra</t>
        </is>
      </c>
      <c r="M53" s="20" t="inlineStr">
        <is>
          <t>A deliberately broken deploy is caught by the health check and rolled back without manual intervention.</t>
        </is>
      </c>
      <c r="N53" s="20" t="inlineStr">
        <is>
          <t>The service exposes GET /health. Wire it to the platform health check, prove a rollback to the previous image, and gate the deploy on CI being green for that commit.</t>
        </is>
      </c>
    </row>
    <row r="54" ht="30" customHeight="1">
      <c r="A54" s="20" t="inlineStr">
        <is>
          <t>2053</t>
        </is>
      </c>
      <c r="B54" s="20" t="inlineStr">
        <is>
          <t>2048</t>
        </is>
      </c>
      <c r="C54" s="20" t="inlineStr">
        <is>
          <t>Story</t>
        </is>
      </c>
      <c r="D54" s="23" t="inlineStr">
        <is>
          <t>Decide the disposition of the inherited frontend</t>
        </is>
      </c>
      <c r="E54" s="24" t="inlineStr">
        <is>
          <t>Done</t>
        </is>
      </c>
      <c r="F54" s="23" t="inlineStr">
        <is>
          <t>Rolled up from 1 child: 1 done.</t>
        </is>
      </c>
      <c r="G54" s="20" t="inlineStr">
        <is>
          <t>Phase 2 - Infrastructure</t>
        </is>
      </c>
      <c r="H54" s="20" t="inlineStr">
        <is>
          <t>Sprint 3</t>
        </is>
      </c>
      <c r="I54" s="20" t="inlineStr">
        <is>
          <t>Frontend</t>
        </is>
      </c>
      <c r="J54" s="20" t="inlineStr">
        <is>
          <t>Medium</t>
        </is>
      </c>
      <c r="K54" s="20" t="inlineStr">
        <is>
          <t>legal-workflow-service</t>
        </is>
      </c>
      <c r="L54" s="20" t="inlineStr">
        <is>
          <t>infra</t>
        </is>
      </c>
      <c r="M54" s="20" t="inlineStr">
        <is>
          <t>Met. The decision is recorded in docs/delivery-plan/v2/architecture.md decision 2, and the e2e suite still runs.</t>
        </is>
      </c>
      <c r="N54" s="20" t="inlineStr">
        <is>
          <t>DECIDED 2026-09-10: keep and complete - this frontend IS the product. That reverses the premise this ticket was written on (below), which assumed Juralio was the customer-facing product. See docs/delivery-plan/v2/architecture.md decision 2. Original text: Mike's Next.js app is not the customer-facing product - Juralio is. But mikeApi.ts is a 2,837-line typed client that documents the API contract, and the Playwright e2e suite drives the real flows through it. Keeping it in the repo is free; deploying it is a decision.</t>
        </is>
      </c>
    </row>
    <row r="55" ht="30" customHeight="1">
      <c r="A55" s="20" t="inlineStr">
        <is>
          <t>2054</t>
        </is>
      </c>
      <c r="B55" s="20" t="inlineStr">
        <is>
          <t>2053</t>
        </is>
      </c>
      <c r="C55" s="20" t="inlineStr">
        <is>
          <t>Sub-task</t>
        </is>
      </c>
      <c r="D55" s="23" t="inlineStr">
        <is>
          <t>Deploy as an internal admin surface, or retire it</t>
        </is>
      </c>
      <c r="E55" s="24" t="inlineStr">
        <is>
          <t>Done</t>
        </is>
      </c>
      <c r="F55" s="23" t="inlineStr">
        <is>
          <t>From the delivery plan row that cites it.</t>
        </is>
      </c>
      <c r="G55" s="20" t="inlineStr">
        <is>
          <t>Phase 2 - Infrastructure</t>
        </is>
      </c>
      <c r="H55" s="20" t="inlineStr">
        <is>
          <t>Sprint 3</t>
        </is>
      </c>
      <c r="I55" s="20" t="inlineStr">
        <is>
          <t>Frontend</t>
        </is>
      </c>
      <c r="J55" s="20" t="inlineStr">
        <is>
          <t>Medium</t>
        </is>
      </c>
      <c r="K55" s="20" t="inlineStr">
        <is>
          <t>legal-workflow-service</t>
        </is>
      </c>
      <c r="L55" s="20" t="inlineStr">
        <is>
          <t>infra</t>
        </is>
      </c>
      <c r="M55" s="20" t="inlineStr">
        <is>
          <t>Superseded by v2 plan stages 1 and 4, which deploy this frontend as the product.</t>
        </is>
      </c>
      <c r="N55" s="20" t="inlineStr">
        <is>
          <t>DECIDED 2026-09-10: neither. Not an internal admin surface and not retired - it ships as the product's own public UI, deployed on the infrastructure in docs/delivery-plan/v2/architecture.md. Delivery is the v2 plan's stages 1 and 4, not this ticket. Original text: Recommended: deploy behind authentication as an internal operations and support console. It gives you a working UI for every backend capability at no build cost. If retired instead, the e2e suite needs a CI-only build target so it keeps running.</t>
        </is>
      </c>
    </row>
    <row r="56" ht="30" customHeight="1">
      <c r="A56" s="20" t="inlineStr">
        <is>
          <t>2055</t>
        </is>
      </c>
      <c r="B56" s="20" t="inlineStr"/>
      <c r="C56" s="20" t="inlineStr">
        <is>
          <t>Epic</t>
        </is>
      </c>
      <c r="D56" s="21" t="inlineStr">
        <is>
          <t>Security remediation</t>
        </is>
      </c>
      <c r="E56" s="24" t="inlineStr">
        <is>
          <t>Done</t>
        </is>
      </c>
      <c r="F56" s="23" t="inlineStr">
        <is>
          <t>Rolled up from 3 children: 3 done.</t>
        </is>
      </c>
      <c r="G56" s="20" t="inlineStr">
        <is>
          <t>Phase 2 - Infrastructure</t>
        </is>
      </c>
      <c r="H56" s="20" t="inlineStr">
        <is>
          <t>Sprint 4</t>
        </is>
      </c>
      <c r="I56" s="20" t="inlineStr">
        <is>
          <t>Backend</t>
        </is>
      </c>
      <c r="J56" s="20" t="inlineStr">
        <is>
          <t>Highest</t>
        </is>
      </c>
      <c r="K56" s="20" t="inlineStr">
        <is>
          <t>legal-workflow-service</t>
        </is>
      </c>
      <c r="L56" s="20" t="inlineStr">
        <is>
          <t>security</t>
        </is>
      </c>
      <c r="M56" s="20" t="inlineStr">
        <is>
          <t>Audit trail answers who could see what and since when; no route reaches data without an access check; production limits configured.</t>
        </is>
      </c>
      <c r="N56" s="20" t="inlineStr">
        <is>
          <t>The findings from the repository assessment that must be closed before any environment holds real client documents. The codebase starts strong - AES-256-GCM key storage, timing-safe token comparison, a thorough SSRF blocklist, helmet, twelve rate limiters - so this is closing specific gaps, not a rebuild.</t>
        </is>
      </c>
    </row>
    <row r="57" ht="30" customHeight="1">
      <c r="A57" s="20" t="inlineStr">
        <is>
          <t>2056</t>
        </is>
      </c>
      <c r="B57" s="20" t="inlineStr">
        <is>
          <t>2055</t>
        </is>
      </c>
      <c r="C57" s="20" t="inlineStr">
        <is>
          <t>Story</t>
        </is>
      </c>
      <c r="D57" s="23" t="inlineStr">
        <is>
          <t>Close the audit trail gaps</t>
        </is>
      </c>
      <c r="E57" s="24" t="inlineStr">
        <is>
          <t>Done</t>
        </is>
      </c>
      <c r="F57" s="23" t="inlineStr">
        <is>
          <t>Rolled up from 2 children: 2 done.</t>
        </is>
      </c>
      <c r="G57" s="20" t="inlineStr">
        <is>
          <t>Phase 2 - Infrastructure</t>
        </is>
      </c>
      <c r="H57" s="20" t="inlineStr">
        <is>
          <t>Sprint 4</t>
        </is>
      </c>
      <c r="I57" s="20" t="inlineStr">
        <is>
          <t>Backend</t>
        </is>
      </c>
      <c r="J57" s="20" t="inlineStr">
        <is>
          <t>Highest</t>
        </is>
      </c>
      <c r="K57" s="20" t="inlineStr">
        <is>
          <t>legal-workflow-service</t>
        </is>
      </c>
      <c r="L57" s="20" t="inlineStr">
        <is>
          <t>security</t>
        </is>
      </c>
      <c r="M57" s="20" t="inlineStr">
        <is>
          <t>Share grants, revocations and authentication events all appear in the audit trail and in the export.</t>
        </is>
      </c>
      <c r="N57" s="20" t="inlineStr">
        <is>
          <t>Eighteen actions are audited today, covering chat turns, document edits, uploads, exports, organisation membership and invitations. Nothing records who granted or revoked access to a project, and nothing records authentication events. For software holding privileged material, those are the two questions you will actually be asked.</t>
        </is>
      </c>
    </row>
    <row r="58" ht="30" customHeight="1">
      <c r="A58" s="20" t="inlineStr">
        <is>
          <t>2057</t>
        </is>
      </c>
      <c r="B58" s="20" t="inlineStr">
        <is>
          <t>2056</t>
        </is>
      </c>
      <c r="C58" s="20" t="inlineStr">
        <is>
          <t>Sub-task</t>
        </is>
      </c>
      <c r="D58" s="23" t="inlineStr">
        <is>
          <t>Audit project share grant and revoke</t>
        </is>
      </c>
      <c r="E58" s="24" t="inlineStr">
        <is>
          <t>Done</t>
        </is>
      </c>
      <c r="F58" s="23" t="inlineStr">
        <is>
          <t>Inherited from parent 2056 (done).</t>
        </is>
      </c>
      <c r="G58" s="20" t="inlineStr">
        <is>
          <t>Phase 2 - Infrastructure</t>
        </is>
      </c>
      <c r="H58" s="20" t="inlineStr">
        <is>
          <t>Sprint 4</t>
        </is>
      </c>
      <c r="I58" s="20" t="inlineStr">
        <is>
          <t>Backend</t>
        </is>
      </c>
      <c r="J58" s="20" t="inlineStr">
        <is>
          <t>Highest</t>
        </is>
      </c>
      <c r="K58" s="20" t="inlineStr">
        <is>
          <t>legal-workflow-service</t>
        </is>
      </c>
      <c r="L58" s="20" t="inlineStr">
        <is>
          <t>security</t>
        </is>
      </c>
      <c r="M58" s="20" t="inlineStr">
        <is>
          <t>Granting and revoking access each write an audit event naming actor, subject and role; both appear in the audit export.</t>
        </is>
      </c>
      <c r="N58" s="20" t="inlineStr">
        <is>
          <t>recordAudit in backend/src/lib/audit.ts is the insertion point. Add calls in lib/projectAccess.ts covering upsertProjectGrant, deleteProjectGrant and removeGrantsForEmail, recording actor, subject, resource and the resulting role.</t>
        </is>
      </c>
    </row>
    <row r="59" ht="30" customHeight="1">
      <c r="A59" s="20" t="inlineStr">
        <is>
          <t>2058</t>
        </is>
      </c>
      <c r="B59" s="20" t="inlineStr">
        <is>
          <t>2056</t>
        </is>
      </c>
      <c r="C59" s="20" t="inlineStr">
        <is>
          <t>Sub-task</t>
        </is>
      </c>
      <c r="D59" s="23" t="inlineStr">
        <is>
          <t>Audit authentication events</t>
        </is>
      </c>
      <c r="E59" s="24" t="inlineStr">
        <is>
          <t>Done</t>
        </is>
      </c>
      <c r="F59" s="23" t="inlineStr">
        <is>
          <t>Inherited from parent 2056 (done).</t>
        </is>
      </c>
      <c r="G59" s="20" t="inlineStr">
        <is>
          <t>Phase 2 - Infrastructure</t>
        </is>
      </c>
      <c r="H59" s="20" t="inlineStr">
        <is>
          <t>Sprint 4</t>
        </is>
      </c>
      <c r="I59" s="20" t="inlineStr">
        <is>
          <t>Backend</t>
        </is>
      </c>
      <c r="J59" s="20" t="inlineStr">
        <is>
          <t>Highest</t>
        </is>
      </c>
      <c r="K59" s="20" t="inlineStr">
        <is>
          <t>legal-workflow-service</t>
        </is>
      </c>
      <c r="L59" s="20" t="inlineStr">
        <is>
          <t>security</t>
        </is>
      </c>
      <c r="M59" s="20" t="inlineStr">
        <is>
          <t>Each event type is recorded with timestamp, actor and source; failures are distinguishable from successes.</t>
        </is>
      </c>
      <c r="N59" s="20" t="inlineStr">
        <is>
          <t>Login, logout, failed login, password reset, MFA enrolment and MFA removal. These are the events a client security questionnaire asks about by name.</t>
        </is>
      </c>
    </row>
    <row r="60" ht="30" customHeight="1">
      <c r="A60" s="20" t="inlineStr">
        <is>
          <t>2059</t>
        </is>
      </c>
      <c r="B60" s="20" t="inlineStr">
        <is>
          <t>2055</t>
        </is>
      </c>
      <c r="C60" s="20" t="inlineStr">
        <is>
          <t>Story</t>
        </is>
      </c>
      <c r="D60" s="23" t="inlineStr">
        <is>
          <t>Harden the service-role authorisation boundary</t>
        </is>
      </c>
      <c r="E60" s="24" t="inlineStr">
        <is>
          <t>Done</t>
        </is>
      </c>
      <c r="F60" s="23" t="inlineStr">
        <is>
          <t>Rolled up from 2 children: 2 done.</t>
        </is>
      </c>
      <c r="G60" s="20" t="inlineStr">
        <is>
          <t>Phase 2 - Infrastructure</t>
        </is>
      </c>
      <c r="H60" s="20" t="inlineStr">
        <is>
          <t>Sprint 4</t>
        </is>
      </c>
      <c r="I60" s="20" t="inlineStr">
        <is>
          <t>Backend</t>
        </is>
      </c>
      <c r="J60" s="20" t="inlineStr">
        <is>
          <t>Highest</t>
        </is>
      </c>
      <c r="K60" s="20" t="inlineStr">
        <is>
          <t>legal-workflow-service</t>
        </is>
      </c>
      <c r="L60" s="20" t="inlineStr">
        <is>
          <t>security</t>
        </is>
      </c>
      <c r="M60" s="20" t="inlineStr">
        <is>
          <t>Every route with a tenant-scoped resource has a test proving another tenant is denied.</t>
        </is>
      </c>
      <c r="N60" s="20" t="inlineStr">
        <is>
          <t>Because the backend runs as service role against a policy-free schema, correctness rests entirely on developers remembering to call the access helpers. A new endpoint that forgets ensureDocAccess is a cross-tenant data leak, not a permission error. There is no database backstop underneath.</t>
        </is>
      </c>
    </row>
    <row r="61" ht="30" customHeight="1">
      <c r="A61" s="20" t="inlineStr">
        <is>
          <t>2060</t>
        </is>
      </c>
      <c r="B61" s="20" t="inlineStr">
        <is>
          <t>2059</t>
        </is>
      </c>
      <c r="C61" s="20" t="inlineStr">
        <is>
          <t>Sub-task</t>
        </is>
      </c>
      <c r="D61" s="23" t="inlineStr">
        <is>
          <t>Add cross-tenant denial tests for every route</t>
        </is>
      </c>
      <c r="E61" s="24" t="inlineStr">
        <is>
          <t>Done</t>
        </is>
      </c>
      <c r="F61" s="23" t="inlineStr">
        <is>
          <t>completed this session</t>
        </is>
      </c>
      <c r="G61" s="20" t="inlineStr">
        <is>
          <t>Phase 2 - Infrastructure</t>
        </is>
      </c>
      <c r="H61" s="20" t="inlineStr">
        <is>
          <t>Sprint 4</t>
        </is>
      </c>
      <c r="I61" s="20" t="inlineStr">
        <is>
          <t>Backend</t>
        </is>
      </c>
      <c r="J61" s="20" t="inlineStr">
        <is>
          <t>Highest</t>
        </is>
      </c>
      <c r="K61" s="20" t="inlineStr">
        <is>
          <t>legal-workflow-service</t>
        </is>
      </c>
      <c r="L61" s="20" t="inlineStr">
        <is>
          <t>security,test</t>
        </is>
      </c>
      <c r="M61" s="20" t="inlineStr">
        <is>
          <t>Every tenant-scoped endpoint has a cross-tenant denial test; deliberately removing an access check turns a test red.</t>
        </is>
      </c>
      <c r="N61" s="20" t="inlineStr">
        <is>
          <t>Work the route list systematically. The pattern exists already in the integration suite; extend it so each endpoint has a case where user B requests user A's resource and receives a denial, not data.</t>
        </is>
      </c>
    </row>
    <row r="62" ht="30" customHeight="1">
      <c r="A62" s="20" t="inlineStr">
        <is>
          <t>2061</t>
        </is>
      </c>
      <c r="B62" s="20" t="inlineStr">
        <is>
          <t>2059</t>
        </is>
      </c>
      <c r="C62" s="20" t="inlineStr">
        <is>
          <t>Sub-task</t>
        </is>
      </c>
      <c r="D62" s="23" t="inlineStr">
        <is>
          <t>Add a review checklist for unguarded service-role queries</t>
        </is>
      </c>
      <c r="E62" s="24" t="inlineStr">
        <is>
          <t>Done</t>
        </is>
      </c>
      <c r="F62" s="23" t="inlineStr">
        <is>
          <t>completed this session</t>
        </is>
      </c>
      <c r="G62" s="20" t="inlineStr">
        <is>
          <t>Phase 2 - Infrastructure</t>
        </is>
      </c>
      <c r="H62" s="20" t="inlineStr">
        <is>
          <t>Sprint 4</t>
        </is>
      </c>
      <c r="I62" s="20" t="inlineStr">
        <is>
          <t>Backend</t>
        </is>
      </c>
      <c r="J62" s="20" t="inlineStr">
        <is>
          <t>High</t>
        </is>
      </c>
      <c r="K62" s="20" t="inlineStr">
        <is>
          <t>legal-workflow-service</t>
        </is>
      </c>
      <c r="L62" s="20" t="inlineStr">
        <is>
          <t>security</t>
        </is>
      </c>
      <c r="M62" s="20" t="inlineStr">
        <is>
          <t>The check exists and has been exercised against a deliberately unguarded query.</t>
        </is>
      </c>
      <c r="N62" s="20" t="inlineStr">
        <is>
          <t>A lint rule or documented PR checklist that flags a createServerSupabase query with no accompanying access-helper call in the same handler. Cheap insurance against the failure mode the architecture invites.</t>
        </is>
      </c>
    </row>
    <row r="63" ht="30" customHeight="1">
      <c r="A63" s="20" t="inlineStr">
        <is>
          <t>2062</t>
        </is>
      </c>
      <c r="B63" s="20" t="inlineStr">
        <is>
          <t>2055</t>
        </is>
      </c>
      <c r="C63" s="20" t="inlineStr">
        <is>
          <t>Story</t>
        </is>
      </c>
      <c r="D63" s="23" t="inlineStr">
        <is>
          <t>Production security baseline</t>
        </is>
      </c>
      <c r="E63" s="24" t="inlineStr">
        <is>
          <t>Done</t>
        </is>
      </c>
      <c r="F63" s="23" t="inlineStr">
        <is>
          <t>Rolled up from 2 children: 2 done.</t>
        </is>
      </c>
      <c r="G63" s="20" t="inlineStr">
        <is>
          <t>Phase 2 - Infrastructure</t>
        </is>
      </c>
      <c r="H63" s="20" t="inlineStr">
        <is>
          <t>Sprint 4</t>
        </is>
      </c>
      <c r="I63" s="20" t="inlineStr">
        <is>
          <t>Backend</t>
        </is>
      </c>
      <c r="J63" s="20" t="inlineStr">
        <is>
          <t>High</t>
        </is>
      </c>
      <c r="K63" s="20" t="inlineStr">
        <is>
          <t>legal-workflow-service</t>
        </is>
      </c>
      <c r="L63" s="20" t="inlineStr">
        <is>
          <t>security</t>
        </is>
      </c>
      <c r="M63" s="20" t="inlineStr">
        <is>
          <t>Origins, limits and data policies are set for production and documented.</t>
        </is>
      </c>
      <c r="N63" s="20" t="inlineStr">
        <is>
          <t>Configuration that is correct for local development and wrong for the internet.</t>
        </is>
      </c>
    </row>
    <row r="64" ht="30" customHeight="1">
      <c r="A64" s="20" t="inlineStr">
        <is>
          <t>2063</t>
        </is>
      </c>
      <c r="B64" s="20" t="inlineStr">
        <is>
          <t>2062</t>
        </is>
      </c>
      <c r="C64" s="20" t="inlineStr">
        <is>
          <t>Sub-task</t>
        </is>
      </c>
      <c r="D64" s="23" t="inlineStr">
        <is>
          <t>Configure origins and rate limits for production</t>
        </is>
      </c>
      <c r="E64" s="24" t="inlineStr">
        <is>
          <t>Done</t>
        </is>
      </c>
      <c r="F64" s="23" t="inlineStr">
        <is>
          <t>From the delivery plan row that cites it.</t>
        </is>
      </c>
      <c r="G64" s="20" t="inlineStr">
        <is>
          <t>Phase 2 - Infrastructure</t>
        </is>
      </c>
      <c r="H64" s="20" t="inlineStr">
        <is>
          <t>Sprint 4</t>
        </is>
      </c>
      <c r="I64" s="20" t="inlineStr">
        <is>
          <t>Backend</t>
        </is>
      </c>
      <c r="J64" s="20" t="inlineStr">
        <is>
          <t>High</t>
        </is>
      </c>
      <c r="K64" s="20" t="inlineStr">
        <is>
          <t>legal-workflow-service</t>
        </is>
      </c>
      <c r="L64" s="20" t="inlineStr">
        <is>
          <t>security</t>
        </is>
      </c>
      <c r="M64" s="20" t="inlineStr">
        <is>
          <t>CORS rejects an unknown origin; each limiter is set deliberately with the value recorded.</t>
        </is>
      </c>
      <c r="N64" s="20" t="inlineStr">
        <is>
          <t>backend/src/app.ts already carries helmet, a CORS allowlist and twelve distinct rate limiters, all tunable by environment variable. Set them for real traffic rather than accepting the development defaults, and confirm NODE_ENV=production only with HTTPS public URLs.</t>
        </is>
      </c>
    </row>
    <row r="65" ht="30" customHeight="1">
      <c r="A65" s="20" t="inlineStr">
        <is>
          <t>2064</t>
        </is>
      </c>
      <c r="B65" s="20" t="inlineStr">
        <is>
          <t>2062</t>
        </is>
      </c>
      <c r="C65" s="20" t="inlineStr">
        <is>
          <t>Sub-task</t>
        </is>
      </c>
      <c r="D65" s="23" t="inlineStr">
        <is>
          <t>Document storage retention, logging and deletion behaviour</t>
        </is>
      </c>
      <c r="E65" s="24" t="inlineStr">
        <is>
          <t>Done</t>
        </is>
      </c>
      <c r="F65" s="23" t="inlineStr">
        <is>
          <t>completed this session</t>
        </is>
      </c>
      <c r="G65" s="20" t="inlineStr">
        <is>
          <t>Phase 2 - Infrastructure</t>
        </is>
      </c>
      <c r="H65" s="20" t="inlineStr">
        <is>
          <t>Sprint 4</t>
        </is>
      </c>
      <c r="I65" s="20" t="inlineStr">
        <is>
          <t>Backend</t>
        </is>
      </c>
      <c r="J65" s="20" t="inlineStr">
        <is>
          <t>High</t>
        </is>
      </c>
      <c r="K65" s="20" t="inlineStr">
        <is>
          <t>legal-workflow-service</t>
        </is>
      </c>
      <c r="L65" s="20" t="inlineStr">
        <is>
          <t>security,compliance</t>
        </is>
      </c>
      <c r="M65" s="20" t="inlineStr">
        <is>
          <t>A written policy exists that matches the code; it is good enough to answer a client security questionnaire.</t>
        </is>
      </c>
      <c r="N65" s="20" t="inlineStr">
        <is>
          <t>What is stored, where, for how long, what is logged, and what actually happens on deletion. userDataCleanup.ts is 1,008 lines and defines the real deletion behaviour - document it rather than describing an intention.</t>
        </is>
      </c>
    </row>
    <row r="66" ht="30" customHeight="1">
      <c r="A66" s="20" t="inlineStr">
        <is>
          <t>2065</t>
        </is>
      </c>
      <c r="B66" s="20" t="inlineStr"/>
      <c r="C66" s="20" t="inlineStr">
        <is>
          <t>Epic</t>
        </is>
      </c>
      <c r="D66" s="21" t="inlineStr">
        <is>
          <t>Integration with the Juralio platform</t>
        </is>
      </c>
      <c r="E66" s="22" t="inlineStr">
        <is>
          <t>In progress</t>
        </is>
      </c>
      <c r="F66" s="23" t="inlineStr">
        <is>
          <t>Rolled up from 2 children: 1 done, 1 deferred.</t>
        </is>
      </c>
      <c r="G66" s="20" t="inlineStr">
        <is>
          <t>Phase 2 - Infrastructure</t>
        </is>
      </c>
      <c r="H66" s="20" t="inlineStr">
        <is>
          <t>Sprint 4</t>
        </is>
      </c>
      <c r="I66" s="20" t="inlineStr">
        <is>
          <t>Integration</t>
        </is>
      </c>
      <c r="J66" s="20" t="inlineStr">
        <is>
          <t>Highest</t>
        </is>
      </c>
      <c r="K66" s="20" t="inlineStr">
        <is>
          <t>juralio-frontend</t>
        </is>
      </c>
      <c r="L66" s="20" t="inlineStr">
        <is>
          <t>integration</t>
        </is>
      </c>
      <c r="M66" s="20" t="inlineStr">
        <is>
          <t>Juralio calls the workflow service over HTTP for a real end-to-end flow; no code crosses the boundary in either direction.</t>
        </is>
      </c>
      <c r="N66" s="20" t="inlineStr">
        <is>
          <t>Wire the Apache-2.0 matter management platform to this service. The seam already exists and is clean: backend/ and frontend/ share no code, no npm workspace links them, and the only channel is HTTP via API_BASE_URL. Juralio becomes a second consumer of the same contract.</t>
        </is>
      </c>
    </row>
    <row r="67" ht="30" customHeight="1">
      <c r="A67" s="20" t="inlineStr">
        <is>
          <t>2066</t>
        </is>
      </c>
      <c r="B67" s="20" t="inlineStr">
        <is>
          <t>2065</t>
        </is>
      </c>
      <c r="C67" s="20" t="inlineStr">
        <is>
          <t>Story</t>
        </is>
      </c>
      <c r="D67" s="23" t="inlineStr">
        <is>
          <t>Build the HTTP client seam in Juralio</t>
        </is>
      </c>
      <c r="E67" s="28" t="inlineStr">
        <is>
          <t>Deferred</t>
        </is>
      </c>
      <c r="F67" s="23" t="inlineStr">
        <is>
          <t>Rolled up from 3 children: 3 deferred.</t>
        </is>
      </c>
      <c r="G67" s="20" t="inlineStr">
        <is>
          <t>Phase 2 - Infrastructure</t>
        </is>
      </c>
      <c r="H67" s="20" t="inlineStr">
        <is>
          <t>Sprint 4</t>
        </is>
      </c>
      <c r="I67" s="20" t="inlineStr">
        <is>
          <t>Integration</t>
        </is>
      </c>
      <c r="J67" s="20" t="inlineStr">
        <is>
          <t>Highest</t>
        </is>
      </c>
      <c r="K67" s="20" t="inlineStr">
        <is>
          <t>juralio-frontend</t>
        </is>
      </c>
      <c r="L67" s="20" t="inlineStr">
        <is>
          <t>integration</t>
        </is>
      </c>
      <c r="M67" s="20" t="inlineStr">
        <is>
          <t>Juralio reaches the workflow service through its own proxy; no credential is exposed to the browser.</t>
        </is>
      </c>
      <c r="N67" s="20" t="inlineStr">
        <is>
          <t>Mike's own BFF proxy - frontend/src/app/api/[...path]/route.ts, 78 lines - is the reference pattern: it forwards the HttpOnly cookie session upstream so no key ever reaches the browser. Write Juralio's equivalent rather than importing that one.</t>
        </is>
      </c>
    </row>
    <row r="68" ht="30" customHeight="1">
      <c r="A68" s="20" t="inlineStr">
        <is>
          <t>2067</t>
        </is>
      </c>
      <c r="B68" s="20" t="inlineStr">
        <is>
          <t>2066</t>
        </is>
      </c>
      <c r="C68" s="20" t="inlineStr">
        <is>
          <t>Sub-task</t>
        </is>
      </c>
      <c r="D68" s="23" t="inlineStr">
        <is>
          <t>Write Juralio's proxy to the workflow service</t>
        </is>
      </c>
      <c r="E68" s="28" t="inlineStr">
        <is>
          <t>Deferred</t>
        </is>
      </c>
      <c r="F68" s="23" t="inlineStr">
        <is>
          <t>As 2066.</t>
        </is>
      </c>
      <c r="G68" s="20" t="inlineStr">
        <is>
          <t>Phase 2 - Infrastructure</t>
        </is>
      </c>
      <c r="H68" s="20" t="inlineStr">
        <is>
          <t>Sprint 4</t>
        </is>
      </c>
      <c r="I68" s="20" t="inlineStr">
        <is>
          <t>Integration</t>
        </is>
      </c>
      <c r="J68" s="20" t="inlineStr">
        <is>
          <t>Highest</t>
        </is>
      </c>
      <c r="K68" s="20" t="inlineStr">
        <is>
          <t>juralio-frontend</t>
        </is>
      </c>
      <c r="L68" s="20" t="inlineStr">
        <is>
          <t>integration</t>
        </is>
      </c>
      <c r="M68" s="20" t="inlineStr">
        <is>
          <t>A request from Juralio reaches the service and streams the response back, including SSE.</t>
        </is>
      </c>
      <c r="N68" s="20" t="inlineStr">
        <is>
          <t>Forward the session, set forwarded-host and forwarded-proto, stream request and response bodies, no-store caching, manual redirect handling. Target the service base URL from configuration, never hardcoded.</t>
        </is>
      </c>
    </row>
    <row r="69" ht="30" customHeight="1">
      <c r="A69" s="20" t="inlineStr">
        <is>
          <t>2068</t>
        </is>
      </c>
      <c r="B69" s="20" t="inlineStr">
        <is>
          <t>2066</t>
        </is>
      </c>
      <c r="C69" s="20" t="inlineStr">
        <is>
          <t>Sub-task</t>
        </is>
      </c>
      <c r="D69" s="23" t="inlineStr">
        <is>
          <t>Re-declare the API types on the Juralio side</t>
        </is>
      </c>
      <c r="E69" s="28" t="inlineStr">
        <is>
          <t>Deferred</t>
        </is>
      </c>
      <c r="F69" s="23" t="inlineStr">
        <is>
          <t>As 2066.</t>
        </is>
      </c>
      <c r="G69" s="20" t="inlineStr">
        <is>
          <t>Phase 2 - Infrastructure</t>
        </is>
      </c>
      <c r="H69" s="20" t="inlineStr">
        <is>
          <t>Sprint 4</t>
        </is>
      </c>
      <c r="I69" s="20" t="inlineStr">
        <is>
          <t>Integration</t>
        </is>
      </c>
      <c r="J69" s="20" t="inlineStr">
        <is>
          <t>Highest</t>
        </is>
      </c>
      <c r="K69" s="20" t="inlineStr">
        <is>
          <t>juralio-frontend</t>
        </is>
      </c>
      <c r="L69" s="20" t="inlineStr">
        <is>
          <t>integration,compliance</t>
        </is>
      </c>
      <c r="M69" s="20" t="inlineStr">
        <is>
          <t>Juralio typechecks with no dependency on the service repo; the types match the live API.</t>
        </is>
      </c>
      <c r="N69" s="20" t="inlineStr">
        <is>
          <t>Do NOT import Mike's types. Write the interfaces Juralio needs against the eighteen route prefixes it actually consumes. A few hundred lines of interface, and it is what keeps the two works legally separate.</t>
        </is>
      </c>
    </row>
    <row r="70" ht="30" customHeight="1">
      <c r="A70" s="20" t="inlineStr">
        <is>
          <t>2069</t>
        </is>
      </c>
      <c r="B70" s="20" t="inlineStr">
        <is>
          <t>2066</t>
        </is>
      </c>
      <c r="C70" s="20" t="inlineStr">
        <is>
          <t>Sub-task</t>
        </is>
      </c>
      <c r="D70" s="23" t="inlineStr">
        <is>
          <t>Map identity and sessions between the two systems</t>
        </is>
      </c>
      <c r="E70" s="28" t="inlineStr">
        <is>
          <t>Deferred</t>
        </is>
      </c>
      <c r="F70" s="23" t="inlineStr">
        <is>
          <t>As 2066.</t>
        </is>
      </c>
      <c r="G70" s="20" t="inlineStr">
        <is>
          <t>Phase 2 - Infrastructure</t>
        </is>
      </c>
      <c r="H70" s="20" t="inlineStr">
        <is>
          <t>Sprint 4</t>
        </is>
      </c>
      <c r="I70" s="20" t="inlineStr">
        <is>
          <t>Integration</t>
        </is>
      </c>
      <c r="J70" s="20" t="inlineStr">
        <is>
          <t>Highest</t>
        </is>
      </c>
      <c r="K70" s="20" t="inlineStr">
        <is>
          <t>juralio-frontend</t>
        </is>
      </c>
      <c r="L70" s="20" t="inlineStr">
        <is>
          <t>integration,security</t>
        </is>
      </c>
      <c r="M70" s="20" t="inlineStr">
        <is>
          <t>A Juralio user's actions appear in the service audit trail attributed to them, not to a service account.</t>
        </is>
      </c>
      <c r="N70" s="20" t="inlineStr">
        <is>
          <t>Decide how a Juralio user becomes a workflow-service principal: shared identity provider, token exchange, or per-request assertion. This choice determines whether the audit trail can attribute actions to a real person.</t>
        </is>
      </c>
    </row>
    <row r="71" ht="30" customHeight="1">
      <c r="A71" s="20" t="inlineStr">
        <is>
          <t>2070</t>
        </is>
      </c>
      <c r="B71" s="20" t="inlineStr">
        <is>
          <t>2065</t>
        </is>
      </c>
      <c r="C71" s="20" t="inlineStr">
        <is>
          <t>Story</t>
        </is>
      </c>
      <c r="D71" s="23" t="inlineStr">
        <is>
          <t>Enforce the boundary in CI</t>
        </is>
      </c>
      <c r="E71" s="24" t="inlineStr">
        <is>
          <t>Done</t>
        </is>
      </c>
      <c r="F71" s="23" t="inlineStr">
        <is>
          <t>Rolled up from 1 child: 1 done.</t>
        </is>
      </c>
      <c r="G71" s="20" t="inlineStr">
        <is>
          <t>Phase 2 - Infrastructure</t>
        </is>
      </c>
      <c r="H71" s="20" t="inlineStr">
        <is>
          <t>Sprint 4</t>
        </is>
      </c>
      <c r="I71" s="20" t="inlineStr">
        <is>
          <t>Integration</t>
        </is>
      </c>
      <c r="J71" s="20" t="inlineStr">
        <is>
          <t>Highest</t>
        </is>
      </c>
      <c r="K71" s="20" t="inlineStr">
        <is>
          <t>juralio-frontend</t>
        </is>
      </c>
      <c r="L71" s="20" t="inlineStr">
        <is>
          <t>compliance,ci</t>
        </is>
      </c>
      <c r="M71" s="20" t="inlineStr">
        <is>
          <t>A build fails if either repository imports code from the other.</t>
        </is>
      </c>
      <c r="N71" s="20" t="inlineStr">
        <is>
          <t>The service boundary is the thing that keeps Juralio's Apache-2.0 licensing separate from this service's AGPL. Under AGPL section 5(c) a combination cannot be undone, so the boundary is worth defending automatically rather than by memory.</t>
        </is>
      </c>
    </row>
    <row r="72" ht="30" customHeight="1">
      <c r="A72" s="20" t="inlineStr">
        <is>
          <t>2071</t>
        </is>
      </c>
      <c r="B72" s="20" t="inlineStr">
        <is>
          <t>2070</t>
        </is>
      </c>
      <c r="C72" s="20" t="inlineStr">
        <is>
          <t>Sub-task</t>
        </is>
      </c>
      <c r="D72" s="23" t="inlineStr">
        <is>
          <t>Add a CI check that fails on cross-repo imports</t>
        </is>
      </c>
      <c r="E72" s="24" t="inlineStr">
        <is>
          <t>Done</t>
        </is>
      </c>
      <c r="F72" s="23" t="inlineStr">
        <is>
          <t>completed this session</t>
        </is>
      </c>
      <c r="G72" s="20" t="inlineStr">
        <is>
          <t>Phase 2 - Infrastructure</t>
        </is>
      </c>
      <c r="H72" s="20" t="inlineStr">
        <is>
          <t>Sprint 4</t>
        </is>
      </c>
      <c r="I72" s="20" t="inlineStr">
        <is>
          <t>Integration</t>
        </is>
      </c>
      <c r="J72" s="20" t="inlineStr">
        <is>
          <t>Highest</t>
        </is>
      </c>
      <c r="K72" s="20" t="inlineStr">
        <is>
          <t>juralio-frontend</t>
        </is>
      </c>
      <c r="L72" s="20" t="inlineStr">
        <is>
          <t>compliance,ci</t>
        </is>
      </c>
      <c r="M72" s="20" t="inlineStr">
        <is>
          <t>A deliberately added cross-repo import fails CI with a message explaining why.</t>
        </is>
      </c>
      <c r="N72" s="20" t="inlineStr">
        <is>
          <t>Fail the build on any import, submodule, package dependency or shared build step spanning the two repositories. Also flag copied files by content hash against the service repo's tree.</t>
        </is>
      </c>
    </row>
    <row r="73" ht="30" customHeight="1">
      <c r="A73" s="20" t="inlineStr">
        <is>
          <t>2072</t>
        </is>
      </c>
      <c r="B73" s="20" t="inlineStr"/>
      <c r="C73" s="20" t="inlineStr">
        <is>
          <t>Epic</t>
        </is>
      </c>
      <c r="D73" s="21" t="inlineStr">
        <is>
          <t>Licence compliance</t>
        </is>
      </c>
      <c r="E73" s="24" t="inlineStr">
        <is>
          <t>Done</t>
        </is>
      </c>
      <c r="F73" s="23" t="inlineStr">
        <is>
          <t>Rolled up from 2 children: 2 done.</t>
        </is>
      </c>
      <c r="G73" s="20" t="inlineStr">
        <is>
          <t>Phase 3 - Production Ready</t>
        </is>
      </c>
      <c r="H73" s="20" t="inlineStr">
        <is>
          <t>Sprint 5</t>
        </is>
      </c>
      <c r="I73" s="20" t="inlineStr">
        <is>
          <t>Platform</t>
        </is>
      </c>
      <c r="J73" s="20" t="inlineStr">
        <is>
          <t>Highest</t>
        </is>
      </c>
      <c r="K73" s="20" t="inlineStr">
        <is>
          <t>legal-workflow-service</t>
        </is>
      </c>
      <c r="L73" s="20" t="inlineStr">
        <is>
          <t>compliance</t>
        </is>
      </c>
      <c r="M73" s="20" t="inlineStr">
        <is>
          <t>Corresponding Source is offered to users from a network server, matching the deployed commit; all notices present.</t>
        </is>
      </c>
      <c r="N73" s="20" t="inlineStr">
        <is>
          <t>The combined deployment is AGPL-3.0. Apache-2.0 absorbs cleanly because every additional term it carries falls inside AGPL section 7's permitted list. Obligations are satisfied by a footer, a link and a release step - but they must exist before the first external user, not after. Drop this entire epic if a commercial licence is obtained.</t>
        </is>
      </c>
    </row>
    <row r="74" ht="30" customHeight="1">
      <c r="A74" s="20" t="inlineStr">
        <is>
          <t>2073</t>
        </is>
      </c>
      <c r="B74" s="20" t="inlineStr">
        <is>
          <t>2072</t>
        </is>
      </c>
      <c r="C74" s="20" t="inlineStr">
        <is>
          <t>Story</t>
        </is>
      </c>
      <c r="D74" s="23" t="inlineStr">
        <is>
          <t>Build the Corresponding Source publication pipeline</t>
        </is>
      </c>
      <c r="E74" s="24" t="inlineStr">
        <is>
          <t>Done</t>
        </is>
      </c>
      <c r="F74" s="23" t="inlineStr">
        <is>
          <t>Rolled up from 3 children: 3 done.</t>
        </is>
      </c>
      <c r="G74" s="20" t="inlineStr">
        <is>
          <t>Phase 3 - Production Ready</t>
        </is>
      </c>
      <c r="H74" s="20" t="inlineStr">
        <is>
          <t>Sprint 5</t>
        </is>
      </c>
      <c r="I74" s="20" t="inlineStr">
        <is>
          <t>Platform</t>
        </is>
      </c>
      <c r="J74" s="20" t="inlineStr">
        <is>
          <t>Highest</t>
        </is>
      </c>
      <c r="K74" s="20" t="inlineStr">
        <is>
          <t>legal-workflow-service</t>
        </is>
      </c>
      <c r="L74" s="20" t="inlineStr">
        <is>
          <t>compliance,ci</t>
        </is>
      </c>
      <c r="M74" s="20" t="inlineStr">
        <is>
          <t>Every production release automatically publishes matching source; the two cannot drift.</t>
        </is>
      </c>
      <c r="N74" s="20" t="inlineStr">
        <is>
          <t>AGPL section 13 requires a prominent offer of the Corresponding Source of the version users are actually interacting with. That means it belongs in the release pipeline, not in a manual process someone remembers.</t>
        </is>
      </c>
    </row>
    <row r="75" ht="30" customHeight="1">
      <c r="A75" s="20" t="inlineStr">
        <is>
          <t>2074</t>
        </is>
      </c>
      <c r="B75" s="20" t="inlineStr">
        <is>
          <t>2073</t>
        </is>
      </c>
      <c r="C75" s="20" t="inlineStr">
        <is>
          <t>Sub-task</t>
        </is>
      </c>
      <c r="D75" s="23" t="inlineStr">
        <is>
          <t>Create the public mirror repository and workflow</t>
        </is>
      </c>
      <c r="E75" s="24" t="inlineStr">
        <is>
          <t>Done</t>
        </is>
      </c>
      <c r="F75" s="23" t="inlineStr">
        <is>
          <t>From the delivery plan row that cites it.</t>
        </is>
      </c>
      <c r="G75" s="20" t="inlineStr">
        <is>
          <t>Phase 3 - Production Ready</t>
        </is>
      </c>
      <c r="H75" s="20" t="inlineStr">
        <is>
          <t>Sprint 5</t>
        </is>
      </c>
      <c r="I75" s="20" t="inlineStr">
        <is>
          <t>Platform</t>
        </is>
      </c>
      <c r="J75" s="20" t="inlineStr">
        <is>
          <t>Highest</t>
        </is>
      </c>
      <c r="K75" s="20" t="inlineStr">
        <is>
          <t>legal-workflow-service</t>
        </is>
      </c>
      <c r="L75" s="20" t="inlineStr">
        <is>
          <t>compliance,ci</t>
        </is>
      </c>
      <c r="M75" s="20" t="inlineStr">
        <is>
          <t>A release tag results in the matching commit appearing publicly; a gitleaks scan of the mirror is clean.</t>
        </is>
      </c>
      <c r="N75" s="20" t="inlineStr">
        <is>
          <t>A public repository holding the Corresponding Source. On a release tag, push the exact deployed tree to it. Secrets live in environment configuration rather than the repo, so nothing needs redacting - but verify that before the first push.</t>
        </is>
      </c>
    </row>
    <row r="76" ht="30" customHeight="1">
      <c r="A76" s="20" t="inlineStr">
        <is>
          <t>2075</t>
        </is>
      </c>
      <c r="B76" s="20" t="inlineStr">
        <is>
          <t>2073</t>
        </is>
      </c>
      <c r="C76" s="20" t="inlineStr">
        <is>
          <t>Sub-task</t>
        </is>
      </c>
      <c r="D76" s="23" t="inlineStr">
        <is>
          <t>Gate deploys on a successful mirror push</t>
        </is>
      </c>
      <c r="E76" s="24" t="inlineStr">
        <is>
          <t>Done</t>
        </is>
      </c>
      <c r="F76" s="23" t="inlineStr">
        <is>
          <t>From the delivery plan row that cites it.</t>
        </is>
      </c>
      <c r="G76" s="20" t="inlineStr">
        <is>
          <t>Phase 3 - Production Ready</t>
        </is>
      </c>
      <c r="H76" s="20" t="inlineStr">
        <is>
          <t>Sprint 5</t>
        </is>
      </c>
      <c r="I76" s="20" t="inlineStr">
        <is>
          <t>Platform</t>
        </is>
      </c>
      <c r="J76" s="20" t="inlineStr">
        <is>
          <t>Highest</t>
        </is>
      </c>
      <c r="K76" s="20" t="inlineStr">
        <is>
          <t>legal-workflow-service</t>
        </is>
      </c>
      <c r="L76" s="20" t="inlineStr">
        <is>
          <t>compliance,ci</t>
        </is>
      </c>
      <c r="M76" s="20" t="inlineStr">
        <is>
          <t>A simulated mirror failure blocks the deploy.</t>
        </is>
      </c>
      <c r="N76" s="20" t="inlineStr">
        <is>
          <t>Ordering is tag, then mirror push, then deploy. If the mirror push fails the deploy does not proceed, so a running version always has published source behind it.</t>
        </is>
      </c>
    </row>
    <row r="77" ht="30" customHeight="1">
      <c r="A77" s="20" t="inlineStr">
        <is>
          <t>2076</t>
        </is>
      </c>
      <c r="B77" s="20" t="inlineStr">
        <is>
          <t>2073</t>
        </is>
      </c>
      <c r="C77" s="20" t="inlineStr">
        <is>
          <t>Sub-task</t>
        </is>
      </c>
      <c r="D77" s="23" t="inlineStr">
        <is>
          <t>Serve the source offer from the application UI</t>
        </is>
      </c>
      <c r="E77" s="24" t="inlineStr">
        <is>
          <t>Done</t>
        </is>
      </c>
      <c r="F77" s="23" t="inlineStr">
        <is>
          <t>From the delivery plan row that cites it.</t>
        </is>
      </c>
      <c r="G77" s="20" t="inlineStr">
        <is>
          <t>Phase 3 - Production Ready</t>
        </is>
      </c>
      <c r="H77" s="20" t="inlineStr">
        <is>
          <t>Sprint 5</t>
        </is>
      </c>
      <c r="I77" s="20" t="inlineStr">
        <is>
          <t>Platform</t>
        </is>
      </c>
      <c r="J77" s="20" t="inlineStr">
        <is>
          <t>Highest</t>
        </is>
      </c>
      <c r="K77" s="20" t="inlineStr">
        <is>
          <t>legal-workflow-service</t>
        </is>
      </c>
      <c r="L77" s="20" t="inlineStr">
        <is>
          <t>compliance</t>
        </is>
      </c>
      <c r="M77" s="20" t="inlineStr">
        <is>
          <t>The running application links to the exact source of the version being served.</t>
        </is>
      </c>
      <c r="N77" s="20" t="inlineStr">
        <is>
          <t>The offer must be prominent, from a network server, at no charge. A footer link resolving to the mirror at the running commit satisfies it. Wire the commit SHA into the build so the link is version-accurate.</t>
        </is>
      </c>
    </row>
    <row r="78" ht="30" customHeight="1">
      <c r="A78" s="20" t="inlineStr">
        <is>
          <t>2077</t>
        </is>
      </c>
      <c r="B78" s="20" t="inlineStr">
        <is>
          <t>2072</t>
        </is>
      </c>
      <c r="C78" s="20" t="inlineStr">
        <is>
          <t>Story</t>
        </is>
      </c>
      <c r="D78" s="23" t="inlineStr">
        <is>
          <t>Notices and attributions</t>
        </is>
      </c>
      <c r="E78" s="24" t="inlineStr">
        <is>
          <t>Done</t>
        </is>
      </c>
      <c r="F78" s="23" t="inlineStr">
        <is>
          <t>Rolled up from 3 children: 3 done.</t>
        </is>
      </c>
      <c r="G78" s="20" t="inlineStr">
        <is>
          <t>Phase 3 - Production Ready</t>
        </is>
      </c>
      <c r="H78" s="20" t="inlineStr">
        <is>
          <t>Sprint 5</t>
        </is>
      </c>
      <c r="I78" s="20" t="inlineStr">
        <is>
          <t>Platform</t>
        </is>
      </c>
      <c r="J78" s="20" t="inlineStr">
        <is>
          <t>Highest</t>
        </is>
      </c>
      <c r="K78" s="20" t="inlineStr">
        <is>
          <t>legal-workflow-service</t>
        </is>
      </c>
      <c r="L78" s="20" t="inlineStr">
        <is>
          <t>compliance</t>
        </is>
      </c>
      <c r="M78" s="20" t="inlineStr">
        <is>
          <t>Every notice obligation in the launch checklist is satisfied and verified.</t>
        </is>
      </c>
      <c r="N78" s="20" t="inlineStr">
        <is>
          <t>Both licences impose notice obligations that survive into the combined work. Neither is heavy; both are checkable.</t>
        </is>
      </c>
    </row>
    <row r="79" ht="30" customHeight="1">
      <c r="A79" s="20" t="inlineStr">
        <is>
          <t>2078</t>
        </is>
      </c>
      <c r="B79" s="20" t="inlineStr">
        <is>
          <t>2077</t>
        </is>
      </c>
      <c r="C79" s="20" t="inlineStr">
        <is>
          <t>Sub-task</t>
        </is>
      </c>
      <c r="D79" s="23" t="inlineStr">
        <is>
          <t>Add AGPL modification and licence notices</t>
        </is>
      </c>
      <c r="E79" s="24" t="inlineStr">
        <is>
          <t>Done</t>
        </is>
      </c>
      <c r="F79" s="23" t="inlineStr">
        <is>
          <t>completed this session</t>
        </is>
      </c>
      <c r="G79" s="20" t="inlineStr">
        <is>
          <t>Phase 3 - Production Ready</t>
        </is>
      </c>
      <c r="H79" s="20" t="inlineStr">
        <is>
          <t>Sprint 5</t>
        </is>
      </c>
      <c r="I79" s="20" t="inlineStr">
        <is>
          <t>Platform</t>
        </is>
      </c>
      <c r="J79" s="20" t="inlineStr">
        <is>
          <t>Highest</t>
        </is>
      </c>
      <c r="K79" s="20" t="inlineStr">
        <is>
          <t>legal-workflow-service</t>
        </is>
      </c>
      <c r="L79" s="20" t="inlineStr">
        <is>
          <t>compliance</t>
        </is>
      </c>
      <c r="M79" s="20" t="inlineStr">
        <is>
          <t>All four notices present and reachable from the running application; LICENSE unmodified at the repo root.</t>
        </is>
      </c>
      <c r="N79" s="20" t="inlineStr">
        <is>
          <t>Section 5(a): a prominent notice that you modified the work, with a relevant date. Section 5(b): a prominent notice that it is released under AGPL. Section 5(d): Appropriate Legal Notices in the interactive UI - copyright notice, no-warranty statement, that recipients may convey the work, and how to view the licence. The root LICENSE is never deleted or altered; section 8 terminates your rights if it is.</t>
        </is>
      </c>
    </row>
    <row r="80" ht="30" customHeight="1">
      <c r="A80" s="20" t="inlineStr">
        <is>
          <t>2079</t>
        </is>
      </c>
      <c r="B80" s="20" t="inlineStr">
        <is>
          <t>2077</t>
        </is>
      </c>
      <c r="C80" s="20" t="inlineStr">
        <is>
          <t>Sub-task</t>
        </is>
      </c>
      <c r="D80" s="23" t="inlineStr">
        <is>
          <t>Satisfy the Apache-2.0 notice obligations</t>
        </is>
      </c>
      <c r="E80" s="24" t="inlineStr">
        <is>
          <t>Done</t>
        </is>
      </c>
      <c r="F80" s="23" t="inlineStr">
        <is>
          <t>completed this session</t>
        </is>
      </c>
      <c r="G80" s="20" t="inlineStr">
        <is>
          <t>Phase 3 - Production Ready</t>
        </is>
      </c>
      <c r="H80" s="20" t="inlineStr">
        <is>
          <t>Sprint 5</t>
        </is>
      </c>
      <c r="I80" s="20" t="inlineStr">
        <is>
          <t>Platform</t>
        </is>
      </c>
      <c r="J80" s="20" t="inlineStr">
        <is>
          <t>Highest</t>
        </is>
      </c>
      <c r="K80" s="20" t="inlineStr">
        <is>
          <t>legal-workflow-service</t>
        </is>
      </c>
      <c r="L80" s="20" t="inlineStr">
        <is>
          <t>compliance</t>
        </is>
      </c>
      <c r="M80" s="20" t="inlineStr">
        <is>
          <t>Apache licence and NOTICE attributions ship with the product; no Apache header has been stripped.</t>
        </is>
      </c>
      <c r="N80" s="20" t="inlineStr">
        <is>
          <t>Section 4(a): ship a copy of the Apache License for the Juralio-derived portion. Section 4(b): retain existing copyright, patent, trademark and attribution notices, and mark files you changed. Section 4(c): reproduce any upstream NOTICE file attributions. Apache-licensed files keep their headers - it is the combination that is AGPL.</t>
        </is>
      </c>
    </row>
    <row r="81" ht="30" customHeight="1">
      <c r="A81" s="20" t="inlineStr">
        <is>
          <t>2080</t>
        </is>
      </c>
      <c r="B81" s="20" t="inlineStr">
        <is>
          <t>2077</t>
        </is>
      </c>
      <c r="C81" s="20" t="inlineStr">
        <is>
          <t>Sub-task</t>
        </is>
      </c>
      <c r="D81" s="23" t="inlineStr">
        <is>
          <t>Run a trademark sweep</t>
        </is>
      </c>
      <c r="E81" s="24" t="inlineStr">
        <is>
          <t>Done</t>
        </is>
      </c>
      <c r="F81" s="23" t="inlineStr">
        <is>
          <t>completed this session</t>
        </is>
      </c>
      <c r="G81" s="20" t="inlineStr">
        <is>
          <t>Phase 3 - Production Ready</t>
        </is>
      </c>
      <c r="H81" s="20" t="inlineStr">
        <is>
          <t>Sprint 5</t>
        </is>
      </c>
      <c r="I81" s="20" t="inlineStr">
        <is>
          <t>Platform</t>
        </is>
      </c>
      <c r="J81" s="20" t="inlineStr">
        <is>
          <t>High</t>
        </is>
      </c>
      <c r="K81" s="20" t="inlineStr">
        <is>
          <t>legal-workflow-service</t>
        </is>
      </c>
      <c r="L81" s="20" t="inlineStr">
        <is>
          <t>compliance,branding</t>
        </is>
      </c>
      <c r="M81" s="20" t="inlineStr">
        <is>
          <t>A full sweep finds no upstream trademark in any shipped surface.</t>
        </is>
      </c>
      <c r="N81" s="20" t="inlineStr">
        <is>
          <t>AGPL section 7(e) and Apache section 6 both reserve trademark rights - neither licence grants you the upstream marks. Confirm no upstream name, logo, wordmark or domain survives in any user-visible surface, including email templates, error pages and the Word add-in manifest.</t>
        </is>
      </c>
    </row>
    <row r="82" ht="30" customHeight="1">
      <c r="A82" s="20" t="inlineStr">
        <is>
          <t>2081</t>
        </is>
      </c>
      <c r="B82" s="20" t="inlineStr"/>
      <c r="C82" s="20" t="inlineStr">
        <is>
          <t>Epic</t>
        </is>
      </c>
      <c r="D82" s="21" t="inlineStr">
        <is>
          <t>Observability</t>
        </is>
      </c>
      <c r="E82" s="24" t="inlineStr">
        <is>
          <t>Done</t>
        </is>
      </c>
      <c r="F82" s="23" t="inlineStr">
        <is>
          <t>Rolled up from 2 children: 2 done.</t>
        </is>
      </c>
      <c r="G82" s="20" t="inlineStr">
        <is>
          <t>Phase 3 - Production Ready</t>
        </is>
      </c>
      <c r="H82" s="20" t="inlineStr">
        <is>
          <t>Sprint 5</t>
        </is>
      </c>
      <c r="I82" s="20" t="inlineStr">
        <is>
          <t>Backend</t>
        </is>
      </c>
      <c r="J82" s="20" t="inlineStr">
        <is>
          <t>High</t>
        </is>
      </c>
      <c r="K82" s="20" t="inlineStr">
        <is>
          <t>legal-workflow-service</t>
        </is>
      </c>
      <c r="L82" s="20" t="inlineStr">
        <is>
          <t>observability</t>
        </is>
      </c>
      <c r="M82" s="20" t="inlineStr">
        <is>
          <t>Structured logs, metrics, dashboards and alerts are live; no sensitive content reaches a log.</t>
        </is>
      </c>
      <c r="N82" s="20" t="inlineStr">
        <is>
          <t>Establish what the service is doing in production. Logging must use the existing redaction helpers - this is privileged legal material, and a log line is a disclosure.</t>
        </is>
      </c>
    </row>
    <row r="83" ht="30" customHeight="1">
      <c r="A83" s="20" t="inlineStr">
        <is>
          <t>2082</t>
        </is>
      </c>
      <c r="B83" s="20" t="inlineStr">
        <is>
          <t>2081</t>
        </is>
      </c>
      <c r="C83" s="20" t="inlineStr">
        <is>
          <t>Story</t>
        </is>
      </c>
      <c r="D83" s="23" t="inlineStr">
        <is>
          <t>Structured logging and error reporting</t>
        </is>
      </c>
      <c r="E83" s="24" t="inlineStr">
        <is>
          <t>Done</t>
        </is>
      </c>
      <c r="F83" s="23" t="inlineStr">
        <is>
          <t>Rolled up from 2 children: 2 done.</t>
        </is>
      </c>
      <c r="G83" s="20" t="inlineStr">
        <is>
          <t>Phase 3 - Production Ready</t>
        </is>
      </c>
      <c r="H83" s="20" t="inlineStr">
        <is>
          <t>Sprint 5</t>
        </is>
      </c>
      <c r="I83" s="20" t="inlineStr">
        <is>
          <t>Backend</t>
        </is>
      </c>
      <c r="J83" s="20" t="inlineStr">
        <is>
          <t>High</t>
        </is>
      </c>
      <c r="K83" s="20" t="inlineStr">
        <is>
          <t>legal-workflow-service</t>
        </is>
      </c>
      <c r="L83" s="20" t="inlineStr">
        <is>
          <t>observability</t>
        </is>
      </c>
      <c r="M83" s="20" t="inlineStr">
        <is>
          <t>Every request is traceable; no document content or credential appears in any log.</t>
        </is>
      </c>
      <c r="N83" s="20" t="inlineStr">
        <is>
          <t>The codebase already separates user-facing errors from internal ones: httpError.ts keeps exception messages away from clients, and safeError.ts provides redaction helpers for logging. Build on those rather than adding a parallel path.</t>
        </is>
      </c>
    </row>
    <row r="84" ht="30" customHeight="1">
      <c r="A84" s="20" t="inlineStr">
        <is>
          <t>2083</t>
        </is>
      </c>
      <c r="B84" s="20" t="inlineStr">
        <is>
          <t>2082</t>
        </is>
      </c>
      <c r="C84" s="20" t="inlineStr">
        <is>
          <t>Sub-task</t>
        </is>
      </c>
      <c r="D84" s="23" t="inlineStr">
        <is>
          <t>Add structured request logging with redaction</t>
        </is>
      </c>
      <c r="E84" s="24" t="inlineStr">
        <is>
          <t>Done</t>
        </is>
      </c>
      <c r="F84" s="23" t="inlineStr">
        <is>
          <t>completed this session</t>
        </is>
      </c>
      <c r="G84" s="20" t="inlineStr">
        <is>
          <t>Phase 3 - Production Ready</t>
        </is>
      </c>
      <c r="H84" s="20" t="inlineStr">
        <is>
          <t>Sprint 5</t>
        </is>
      </c>
      <c r="I84" s="20" t="inlineStr">
        <is>
          <t>Backend</t>
        </is>
      </c>
      <c r="J84" s="20" t="inlineStr">
        <is>
          <t>High</t>
        </is>
      </c>
      <c r="K84" s="20" t="inlineStr">
        <is>
          <t>legal-workflow-service</t>
        </is>
      </c>
      <c r="L84" s="20" t="inlineStr">
        <is>
          <t>observability,security</t>
        </is>
      </c>
      <c r="M84" s="20" t="inlineStr">
        <is>
          <t>Logs are queryable by request id and user id; a deliberate probe confirms no sensitive field is emitted.</t>
        </is>
      </c>
      <c r="N84" s="20" t="inlineStr">
        <is>
          <t>Request id, user id, route, status, duration. Route every log through the safeError redaction helpers. Verify explicitly that document content, prompts and API keys never appear.</t>
        </is>
      </c>
    </row>
    <row r="85" ht="30" customHeight="1">
      <c r="A85" s="20" t="inlineStr">
        <is>
          <t>2084</t>
        </is>
      </c>
      <c r="B85" s="20" t="inlineStr">
        <is>
          <t>2082</t>
        </is>
      </c>
      <c r="C85" s="20" t="inlineStr">
        <is>
          <t>Sub-task</t>
        </is>
      </c>
      <c r="D85" s="23" t="inlineStr">
        <is>
          <t>Wire error tracking to the redaction helpers</t>
        </is>
      </c>
      <c r="E85" s="24" t="inlineStr">
        <is>
          <t>Done</t>
        </is>
      </c>
      <c r="F85" s="23" t="inlineStr">
        <is>
          <t>completed this session</t>
        </is>
      </c>
      <c r="G85" s="20" t="inlineStr">
        <is>
          <t>Phase 3 - Production Ready</t>
        </is>
      </c>
      <c r="H85" s="20" t="inlineStr">
        <is>
          <t>Sprint 5</t>
        </is>
      </c>
      <c r="I85" s="20" t="inlineStr">
        <is>
          <t>Backend</t>
        </is>
      </c>
      <c r="J85" s="20" t="inlineStr">
        <is>
          <t>High</t>
        </is>
      </c>
      <c r="K85" s="20" t="inlineStr">
        <is>
          <t>legal-workflow-service</t>
        </is>
      </c>
      <c r="L85" s="20" t="inlineStr">
        <is>
          <t>observability,security</t>
        </is>
      </c>
      <c r="M85" s="20" t="inlineStr">
        <is>
          <t>Errors reach the tracker with stack traces intact and sensitive values removed.</t>
        </is>
      </c>
      <c r="N85" s="20" t="inlineStr">
        <is>
          <t>An error tracker that captures raw exception payloads would defeat the existing protections. Integrate through safeError so the redaction applies before anything leaves the process.</t>
        </is>
      </c>
    </row>
    <row r="86" ht="30" customHeight="1">
      <c r="A86" s="20" t="inlineStr">
        <is>
          <t>2085</t>
        </is>
      </c>
      <c r="B86" s="20" t="inlineStr">
        <is>
          <t>2081</t>
        </is>
      </c>
      <c r="C86" s="20" t="inlineStr">
        <is>
          <t>Story</t>
        </is>
      </c>
      <c r="D86" s="23" t="inlineStr">
        <is>
          <t>Metrics, dashboards and alerts</t>
        </is>
      </c>
      <c r="E86" s="24" t="inlineStr">
        <is>
          <t>Done</t>
        </is>
      </c>
      <c r="F86" s="23" t="inlineStr">
        <is>
          <t>Rolled up from 2 children: 2 done.</t>
        </is>
      </c>
      <c r="G86" s="20" t="inlineStr">
        <is>
          <t>Phase 3 - Production Ready</t>
        </is>
      </c>
      <c r="H86" s="20" t="inlineStr">
        <is>
          <t>Sprint 5</t>
        </is>
      </c>
      <c r="I86" s="20" t="inlineStr">
        <is>
          <t>Backend</t>
        </is>
      </c>
      <c r="J86" s="20" t="inlineStr">
        <is>
          <t>High</t>
        </is>
      </c>
      <c r="K86" s="20" t="inlineStr">
        <is>
          <t>legal-workflow-service</t>
        </is>
      </c>
      <c r="L86" s="20" t="inlineStr">
        <is>
          <t>observability</t>
        </is>
      </c>
      <c r="M86" s="20" t="inlineStr">
        <is>
          <t>A dashboard shows service health at a glance; alerts fire on the silent failure paths.</t>
        </is>
      </c>
      <c r="N86" s="20" t="inlineStr">
        <is>
          <t>The paths that fail quietly are the queue workers, the model provider calls and the conversion pipeline - all asynchronous, none visible to a user until something is missing.</t>
        </is>
      </c>
    </row>
    <row r="87" ht="30" customHeight="1">
      <c r="A87" s="20" t="inlineStr">
        <is>
          <t>2086</t>
        </is>
      </c>
      <c r="B87" s="20" t="inlineStr">
        <is>
          <t>2085</t>
        </is>
      </c>
      <c r="C87" s="20" t="inlineStr">
        <is>
          <t>Sub-task</t>
        </is>
      </c>
      <c r="D87" s="23" t="inlineStr">
        <is>
          <t>Instrument service and queue metrics</t>
        </is>
      </c>
      <c r="E87" s="24" t="inlineStr">
        <is>
          <t>Done</t>
        </is>
      </c>
      <c r="F87" s="23" t="inlineStr">
        <is>
          <t>completed this session</t>
        </is>
      </c>
      <c r="G87" s="20" t="inlineStr">
        <is>
          <t>Phase 3 - Production Ready</t>
        </is>
      </c>
      <c r="H87" s="20" t="inlineStr">
        <is>
          <t>Sprint 5</t>
        </is>
      </c>
      <c r="I87" s="20" t="inlineStr">
        <is>
          <t>Backend</t>
        </is>
      </c>
      <c r="J87" s="20" t="inlineStr">
        <is>
          <t>High</t>
        </is>
      </c>
      <c r="K87" s="20" t="inlineStr">
        <is>
          <t>legal-workflow-service</t>
        </is>
      </c>
      <c r="L87" s="20" t="inlineStr">
        <is>
          <t>observability</t>
        </is>
      </c>
      <c r="M87" s="20" t="inlineStr">
        <is>
          <t>Metrics are collected and charted for all three areas.</t>
        </is>
      </c>
      <c r="N87" s="20" t="inlineStr">
        <is>
          <t>Request rate, latency and error rate per route; queue depth, job duration and failure rate for conversion, extraction and export jobs; model provider latency, error and token consumption.</t>
        </is>
      </c>
    </row>
    <row r="88" ht="30" customHeight="1">
      <c r="A88" s="20" t="inlineStr">
        <is>
          <t>2087</t>
        </is>
      </c>
      <c r="B88" s="20" t="inlineStr">
        <is>
          <t>2085</t>
        </is>
      </c>
      <c r="C88" s="20" t="inlineStr">
        <is>
          <t>Sub-task</t>
        </is>
      </c>
      <c r="D88" s="23" t="inlineStr">
        <is>
          <t>Alert on the silent failure paths</t>
        </is>
      </c>
      <c r="E88" s="24" t="inlineStr">
        <is>
          <t>Done</t>
        </is>
      </c>
      <c r="F88" s="23" t="inlineStr">
        <is>
          <t>completed this session</t>
        </is>
      </c>
      <c r="G88" s="20" t="inlineStr">
        <is>
          <t>Phase 3 - Production Ready</t>
        </is>
      </c>
      <c r="H88" s="20" t="inlineStr">
        <is>
          <t>Sprint 5</t>
        </is>
      </c>
      <c r="I88" s="20" t="inlineStr">
        <is>
          <t>Backend</t>
        </is>
      </c>
      <c r="J88" s="20" t="inlineStr">
        <is>
          <t>High</t>
        </is>
      </c>
      <c r="K88" s="20" t="inlineStr">
        <is>
          <t>legal-workflow-service</t>
        </is>
      </c>
      <c r="L88" s="20" t="inlineStr">
        <is>
          <t>observability</t>
        </is>
      </c>
      <c r="M88" s="20" t="inlineStr">
        <is>
          <t>Each alert has fired at least once in a drill and resolved to a runbook.</t>
        </is>
      </c>
      <c r="N88" s="20" t="inlineStr">
        <is>
          <t>Queue backlog growth, repeated job failures, model provider errors, storage failures and migration failures. Each alert names the runbook that resolves it.</t>
        </is>
      </c>
    </row>
    <row r="89" ht="30" customHeight="1">
      <c r="A89" s="20" t="inlineStr">
        <is>
          <t>2088</t>
        </is>
      </c>
      <c r="B89" s="20" t="inlineStr"/>
      <c r="C89" s="20" t="inlineStr">
        <is>
          <t>Epic</t>
        </is>
      </c>
      <c r="D89" s="21" t="inlineStr">
        <is>
          <t>Backend test safety net</t>
        </is>
      </c>
      <c r="E89" s="24" t="inlineStr">
        <is>
          <t>Done</t>
        </is>
      </c>
      <c r="F89" s="23" t="inlineStr">
        <is>
          <t>Rolled up from 1 child: 1 done.</t>
        </is>
      </c>
      <c r="G89" s="20" t="inlineStr">
        <is>
          <t>Phase 3 - Production Ready</t>
        </is>
      </c>
      <c r="H89" s="20" t="inlineStr">
        <is>
          <t>Sprint 5</t>
        </is>
      </c>
      <c r="I89" s="20" t="inlineStr">
        <is>
          <t>Backend</t>
        </is>
      </c>
      <c r="J89" s="20" t="inlineStr">
        <is>
          <t>Medium</t>
        </is>
      </c>
      <c r="K89" s="20" t="inlineStr">
        <is>
          <t>legal-workflow-service</t>
        </is>
      </c>
      <c r="L89" s="20" t="inlineStr">
        <is>
          <t>test</t>
        </is>
      </c>
      <c r="M89" s="20" t="inlineStr">
        <is>
          <t>The largest untested surfaces have characterisation tests and the coverage floors have been raised.</t>
        </is>
      </c>
      <c r="N89" s="20" t="inlineStr">
        <is>
          <t>Coverage is gated at 52 percent statements on backend/src/lib, and the largest, most complex files sit inside that gap. The convention in the repo is a ratchet - floors only go up - so raise them as tests land.</t>
        </is>
      </c>
    </row>
    <row r="90" ht="30" customHeight="1">
      <c r="A90" s="20" t="inlineStr">
        <is>
          <t>2089</t>
        </is>
      </c>
      <c r="B90" s="20" t="inlineStr">
        <is>
          <t>2088</t>
        </is>
      </c>
      <c r="C90" s="20" t="inlineStr">
        <is>
          <t>Story</t>
        </is>
      </c>
      <c r="D90" s="23" t="inlineStr">
        <is>
          <t>Cover the largest untested surfaces</t>
        </is>
      </c>
      <c r="E90" s="24" t="inlineStr">
        <is>
          <t>Done</t>
        </is>
      </c>
      <c r="F90" s="23" t="inlineStr">
        <is>
          <t>Rolled up from 3 children: 3 done.</t>
        </is>
      </c>
      <c r="G90" s="20" t="inlineStr">
        <is>
          <t>Phase 3 - Production Ready</t>
        </is>
      </c>
      <c r="H90" s="20" t="inlineStr">
        <is>
          <t>Sprint 5</t>
        </is>
      </c>
      <c r="I90" s="20" t="inlineStr">
        <is>
          <t>Backend</t>
        </is>
      </c>
      <c r="J90" s="20" t="inlineStr">
        <is>
          <t>Medium</t>
        </is>
      </c>
      <c r="K90" s="20" t="inlineStr">
        <is>
          <t>legal-workflow-service</t>
        </is>
      </c>
      <c r="L90" s="20" t="inlineStr">
        <is>
          <t>test</t>
        </is>
      </c>
      <c r="M90" s="20" t="inlineStr">
        <is>
          <t>Each named file has route or unit tests covering its main paths; the ratchet floors are raised in the same change.</t>
        </is>
      </c>
      <c r="N90" s="20" t="inlineStr">
        <is>
          <t>Prioritise by size and blast radius rather than chasing a percentage: tabular.ts at 2,650 lines, user.ts at 2,192, documentOps.ts at 2,013 and toolDispatcher.ts at 1,998.</t>
        </is>
      </c>
    </row>
    <row r="91" ht="30" customHeight="1">
      <c r="A91" s="20" t="inlineStr">
        <is>
          <t>2090</t>
        </is>
      </c>
      <c r="B91" s="20" t="inlineStr">
        <is>
          <t>2089</t>
        </is>
      </c>
      <c r="C91" s="20" t="inlineStr">
        <is>
          <t>Sub-task</t>
        </is>
      </c>
      <c r="D91" s="23" t="inlineStr">
        <is>
          <t>Route integration tests for tabular.ts and user.ts</t>
        </is>
      </c>
      <c r="E91" s="24" t="inlineStr">
        <is>
          <t>Done</t>
        </is>
      </c>
      <c r="F91" s="23" t="inlineStr">
        <is>
          <t>completed this session</t>
        </is>
      </c>
      <c r="G91" s="20" t="inlineStr">
        <is>
          <t>Phase 3 - Production Ready</t>
        </is>
      </c>
      <c r="H91" s="20" t="inlineStr">
        <is>
          <t>Sprint 5</t>
        </is>
      </c>
      <c r="I91" s="20" t="inlineStr">
        <is>
          <t>Backend</t>
        </is>
      </c>
      <c r="J91" s="20" t="inlineStr">
        <is>
          <t>Medium</t>
        </is>
      </c>
      <c r="K91" s="20" t="inlineStr">
        <is>
          <t>legal-workflow-service</t>
        </is>
      </c>
      <c r="L91" s="20" t="inlineStr">
        <is>
          <t>test</t>
        </is>
      </c>
      <c r="M91" s="20" t="inlineStr">
        <is>
          <t>Both files have route integration coverage; a deliberate regression in each is caught.</t>
        </is>
      </c>
      <c r="N91" s="20" t="inlineStr">
        <is>
          <t>The two largest route files. Cover the main success paths, the authorisation boundaries and the error handling, following the existing integration test patterns.</t>
        </is>
      </c>
    </row>
    <row r="92" ht="30" customHeight="1">
      <c r="A92" s="20" t="inlineStr">
        <is>
          <t>2091</t>
        </is>
      </c>
      <c r="B92" s="20" t="inlineStr">
        <is>
          <t>2089</t>
        </is>
      </c>
      <c r="C92" s="20" t="inlineStr">
        <is>
          <t>Sub-task</t>
        </is>
      </c>
      <c r="D92" s="23" t="inlineStr">
        <is>
          <t>Characterisation tests for the chat tool layer</t>
        </is>
      </c>
      <c r="E92" s="24" t="inlineStr">
        <is>
          <t>Done</t>
        </is>
      </c>
      <c r="F92" s="23" t="inlineStr">
        <is>
          <t>completed this session</t>
        </is>
      </c>
      <c r="G92" s="20" t="inlineStr">
        <is>
          <t>Phase 3 - Production Ready</t>
        </is>
      </c>
      <c r="H92" s="20" t="inlineStr">
        <is>
          <t>Sprint 5</t>
        </is>
      </c>
      <c r="I92" s="20" t="inlineStr">
        <is>
          <t>Backend</t>
        </is>
      </c>
      <c r="J92" s="20" t="inlineStr">
        <is>
          <t>Medium</t>
        </is>
      </c>
      <c r="K92" s="20" t="inlineStr">
        <is>
          <t>legal-workflow-service</t>
        </is>
      </c>
      <c r="L92" s="20" t="inlineStr">
        <is>
          <t>test</t>
        </is>
      </c>
      <c r="M92" s="20" t="inlineStr">
        <is>
          <t>Tool dispatch and document operations have tests describing actual current behaviour.</t>
        </is>
      </c>
      <c r="N92" s="20" t="inlineStr">
        <is>
          <t>toolDispatcher.ts routes thirteen assistant tools and documentOps.ts implements the document operations. Characterise current behaviour before changing anything in this area.</t>
        </is>
      </c>
    </row>
    <row r="93" ht="30" customHeight="1">
      <c r="A93" s="20" t="inlineStr">
        <is>
          <t>2092</t>
        </is>
      </c>
      <c r="B93" s="20" t="inlineStr">
        <is>
          <t>2089</t>
        </is>
      </c>
      <c r="C93" s="20" t="inlineStr">
        <is>
          <t>Sub-task</t>
        </is>
      </c>
      <c r="D93" s="23" t="inlineStr">
        <is>
          <t>Raise the coverage ratchet floors</t>
        </is>
      </c>
      <c r="E93" s="24" t="inlineStr">
        <is>
          <t>Done</t>
        </is>
      </c>
      <c r="F93" s="23" t="inlineStr">
        <is>
          <t>completed this session</t>
        </is>
      </c>
      <c r="G93" s="20" t="inlineStr">
        <is>
          <t>Phase 3 - Production Ready</t>
        </is>
      </c>
      <c r="H93" s="20" t="inlineStr">
        <is>
          <t>Sprint 5</t>
        </is>
      </c>
      <c r="I93" s="20" t="inlineStr">
        <is>
          <t>Backend</t>
        </is>
      </c>
      <c r="J93" s="20" t="inlineStr">
        <is>
          <t>Medium</t>
        </is>
      </c>
      <c r="K93" s="20" t="inlineStr">
        <is>
          <t>legal-workflow-service</t>
        </is>
      </c>
      <c r="L93" s="20" t="inlineStr">
        <is>
          <t>test</t>
        </is>
      </c>
      <c r="M93" s="20" t="inlineStr">
        <is>
          <t>New floors committed and CI fails on a drop below them.</t>
        </is>
      </c>
      <c r="N93" s="20" t="inlineStr">
        <is>
          <t>Update the thresholds in backend/vitest.config.mts to the newly measured values, rounded down, in the same change as the tests. The repo convention is explicit that floors only move up.</t>
        </is>
      </c>
    </row>
    <row r="94" ht="30" customHeight="1">
      <c r="A94" s="20" t="inlineStr">
        <is>
          <t>2093</t>
        </is>
      </c>
      <c r="B94" s="20" t="inlineStr"/>
      <c r="C94" s="20" t="inlineStr">
        <is>
          <t>Epic</t>
        </is>
      </c>
      <c r="D94" s="21" t="inlineStr">
        <is>
          <t>Operational readiness</t>
        </is>
      </c>
      <c r="E94" s="22" t="inlineStr">
        <is>
          <t>In progress</t>
        </is>
      </c>
      <c r="F94" s="23" t="inlineStr">
        <is>
          <t>Rolled up from 2 children: 2 in progress.</t>
        </is>
      </c>
      <c r="G94" s="20" t="inlineStr">
        <is>
          <t>Phase 3 - Production Ready</t>
        </is>
      </c>
      <c r="H94" s="20" t="inlineStr">
        <is>
          <t>Sprint 6</t>
        </is>
      </c>
      <c r="I94" s="20" t="inlineStr">
        <is>
          <t>Infrastructure</t>
        </is>
      </c>
      <c r="J94" s="20" t="inlineStr">
        <is>
          <t>High</t>
        </is>
      </c>
      <c r="K94" s="20" t="inlineStr">
        <is>
          <t>legal-workflow-service</t>
        </is>
      </c>
      <c r="L94" s="20" t="inlineStr">
        <is>
          <t>ops</t>
        </is>
      </c>
      <c r="M94" s="20" t="inlineStr">
        <is>
          <t>Backups restore, runbooks exist, and the service has been load tested.</t>
        </is>
      </c>
      <c r="N94" s="20" t="inlineStr">
        <is>
          <t>Everything required to run this as a service holding confidential legal material, rather than as an application that happens to be deployed.</t>
        </is>
      </c>
    </row>
    <row r="95" ht="30" customHeight="1">
      <c r="A95" s="20" t="inlineStr">
        <is>
          <t>2094</t>
        </is>
      </c>
      <c r="B95" s="20" t="inlineStr">
        <is>
          <t>2093</t>
        </is>
      </c>
      <c r="C95" s="20" t="inlineStr">
        <is>
          <t>Story</t>
        </is>
      </c>
      <c r="D95" s="23" t="inlineStr">
        <is>
          <t>Backup, restore and disaster recovery</t>
        </is>
      </c>
      <c r="E95" s="22" t="inlineStr">
        <is>
          <t>In progress</t>
        </is>
      </c>
      <c r="F95" s="23" t="inlineStr">
        <is>
          <t>Rolled up from 2 children: 1 done, 1 in progress.</t>
        </is>
      </c>
      <c r="G95" s="20" t="inlineStr">
        <is>
          <t>Phase 3 - Production Ready</t>
        </is>
      </c>
      <c r="H95" s="20" t="inlineStr">
        <is>
          <t>Sprint 6</t>
        </is>
      </c>
      <c r="I95" s="20" t="inlineStr">
        <is>
          <t>Infrastructure</t>
        </is>
      </c>
      <c r="J95" s="20" t="inlineStr">
        <is>
          <t>Highest</t>
        </is>
      </c>
      <c r="K95" s="20" t="inlineStr">
        <is>
          <t>legal-workflow-service</t>
        </is>
      </c>
      <c r="L95" s="20" t="inlineStr">
        <is>
          <t>ops</t>
        </is>
      </c>
      <c r="M95" s="20" t="inlineStr">
        <is>
          <t>A full restore has been performed into a clean environment and verified.</t>
        </is>
      </c>
      <c r="N95" s="20" t="inlineStr">
        <is>
          <t>An untested backup is not a backup. For legal client data the restore path is the thing that matters, and it is worth proving before you need it.</t>
        </is>
      </c>
    </row>
    <row r="96" ht="30" customHeight="1">
      <c r="A96" s="20" t="inlineStr">
        <is>
          <t>2095</t>
        </is>
      </c>
      <c r="B96" s="20" t="inlineStr">
        <is>
          <t>2094</t>
        </is>
      </c>
      <c r="C96" s="20" t="inlineStr">
        <is>
          <t>Sub-task</t>
        </is>
      </c>
      <c r="D96" s="23" t="inlineStr">
        <is>
          <t>Configure automated backups and prove a restore</t>
        </is>
      </c>
      <c r="E96" s="22" t="inlineStr">
        <is>
          <t>In progress</t>
        </is>
      </c>
      <c r="F96" s="23" t="inlineStr">
        <is>
          <t>From the delivery plan row that cites it.</t>
        </is>
      </c>
      <c r="G96" s="20" t="inlineStr">
        <is>
          <t>Phase 3 - Production Ready</t>
        </is>
      </c>
      <c r="H96" s="20" t="inlineStr">
        <is>
          <t>Sprint 6</t>
        </is>
      </c>
      <c r="I96" s="20" t="inlineStr">
        <is>
          <t>Infrastructure</t>
        </is>
      </c>
      <c r="J96" s="20" t="inlineStr">
        <is>
          <t>Highest</t>
        </is>
      </c>
      <c r="K96" s="20" t="inlineStr">
        <is>
          <t>legal-workflow-service</t>
        </is>
      </c>
      <c r="L96" s="20" t="inlineStr">
        <is>
          <t>ops</t>
        </is>
      </c>
      <c r="M96" s="20" t="inlineStr">
        <is>
          <t>A restore drill completes with the application fully functional against the restored data.</t>
        </is>
      </c>
      <c r="N96" s="20" t="inlineStr">
        <is>
          <t>Database and object storage both. Perform an actual restore into a clean environment and confirm documents, chats and reviews all come back intact and readable.</t>
        </is>
      </c>
    </row>
    <row r="97" ht="30" customHeight="1">
      <c r="A97" s="20" t="inlineStr">
        <is>
          <t>2096</t>
        </is>
      </c>
      <c r="B97" s="20" t="inlineStr">
        <is>
          <t>2094</t>
        </is>
      </c>
      <c r="C97" s="20" t="inlineStr">
        <is>
          <t>Sub-task</t>
        </is>
      </c>
      <c r="D97" s="23" t="inlineStr">
        <is>
          <t>Write runbooks for the common failure modes</t>
        </is>
      </c>
      <c r="E97" s="24" t="inlineStr">
        <is>
          <t>Done</t>
        </is>
      </c>
      <c r="F97" s="23" t="inlineStr">
        <is>
          <t>From the delivery plan row that cites it.</t>
        </is>
      </c>
      <c r="G97" s="20" t="inlineStr">
        <is>
          <t>Phase 3 - Production Ready</t>
        </is>
      </c>
      <c r="H97" s="20" t="inlineStr">
        <is>
          <t>Sprint 6</t>
        </is>
      </c>
      <c r="I97" s="20" t="inlineStr">
        <is>
          <t>Infrastructure</t>
        </is>
      </c>
      <c r="J97" s="20" t="inlineStr">
        <is>
          <t>High</t>
        </is>
      </c>
      <c r="K97" s="20" t="inlineStr">
        <is>
          <t>legal-workflow-service</t>
        </is>
      </c>
      <c r="L97" s="20" t="inlineStr">
        <is>
          <t>ops</t>
        </is>
      </c>
      <c r="M97" s="20" t="inlineStr">
        <is>
          <t>Every alert resolves to a runbook a person can follow without prior context.</t>
        </is>
      </c>
      <c r="N97" s="20" t="inlineStr">
        <is>
          <t>Queue backlog, model provider outage, storage failure, failed migration, certificate expiry, and the restore procedure. Each alert from the observability epic points at one of these.</t>
        </is>
      </c>
    </row>
    <row r="98" ht="30" customHeight="1">
      <c r="A98" s="20" t="inlineStr">
        <is>
          <t>2097</t>
        </is>
      </c>
      <c r="B98" s="20" t="inlineStr">
        <is>
          <t>2093</t>
        </is>
      </c>
      <c r="C98" s="20" t="inlineStr">
        <is>
          <t>Story</t>
        </is>
      </c>
      <c r="D98" s="23" t="inlineStr">
        <is>
          <t>Performance and resilience</t>
        </is>
      </c>
      <c r="E98" s="22" t="inlineStr">
        <is>
          <t>In progress</t>
        </is>
      </c>
      <c r="F98" s="23" t="inlineStr">
        <is>
          <t>Rolled up from 2 children: 1 in progress, 1 to do.</t>
        </is>
      </c>
      <c r="G98" s="20" t="inlineStr">
        <is>
          <t>Phase 3 - Production Ready</t>
        </is>
      </c>
      <c r="H98" s="20" t="inlineStr">
        <is>
          <t>Sprint 6</t>
        </is>
      </c>
      <c r="I98" s="20" t="inlineStr">
        <is>
          <t>Backend</t>
        </is>
      </c>
      <c r="J98" s="20" t="inlineStr">
        <is>
          <t>Medium</t>
        </is>
      </c>
      <c r="K98" s="20" t="inlineStr">
        <is>
          <t>legal-workflow-service</t>
        </is>
      </c>
      <c r="L98" s="20" t="inlineStr">
        <is>
          <t>performance</t>
        </is>
      </c>
      <c r="M98" s="20" t="inlineStr">
        <is>
          <t>Load testing is complete and what it surfaced has been addressed.</t>
        </is>
      </c>
      <c r="N98" s="20" t="inlineStr">
        <is>
          <t>The repository ships a k6 SSE load scenario because streaming is where this class of application falls over first.</t>
        </is>
      </c>
    </row>
    <row r="99" ht="30" customHeight="1">
      <c r="A99" s="20" t="inlineStr">
        <is>
          <t>2098</t>
        </is>
      </c>
      <c r="B99" s="20" t="inlineStr">
        <is>
          <t>2097</t>
        </is>
      </c>
      <c r="C99" s="20" t="inlineStr">
        <is>
          <t>Sub-task</t>
        </is>
      </c>
      <c r="D99" s="23" t="inlineStr">
        <is>
          <t>Run the k6 SSE load scenario against staging</t>
        </is>
      </c>
      <c r="E99" s="22" t="inlineStr">
        <is>
          <t>In progress</t>
        </is>
      </c>
      <c r="F99" s="23" t="inlineStr">
        <is>
          <t>As 2097.</t>
        </is>
      </c>
      <c r="G99" s="20" t="inlineStr">
        <is>
          <t>Phase 3 - Production Ready</t>
        </is>
      </c>
      <c r="H99" s="20" t="inlineStr">
        <is>
          <t>Sprint 6</t>
        </is>
      </c>
      <c r="I99" s="20" t="inlineStr">
        <is>
          <t>Backend</t>
        </is>
      </c>
      <c r="J99" s="20" t="inlineStr">
        <is>
          <t>Medium</t>
        </is>
      </c>
      <c r="K99" s="20" t="inlineStr">
        <is>
          <t>legal-workflow-service</t>
        </is>
      </c>
      <c r="L99" s="20" t="inlineStr">
        <is>
          <t>performance</t>
        </is>
      </c>
      <c r="M99" s="20" t="inlineStr">
        <is>
          <t>A load report exists with latency and error rate at the target concurrency.</t>
        </is>
      </c>
      <c r="N99" s="20" t="inlineStr">
        <is>
          <t>loadtest.yml already defines the scenario. Run it against real infrastructure rather than a laptop, with concurrent streaming chats plus tabular generation.</t>
        </is>
      </c>
    </row>
    <row r="100" ht="30" customHeight="1">
      <c r="A100" s="20" t="inlineStr">
        <is>
          <t>2099</t>
        </is>
      </c>
      <c r="B100" s="20" t="inlineStr">
        <is>
          <t>2097</t>
        </is>
      </c>
      <c r="C100" s="20" t="inlineStr">
        <is>
          <t>Sub-task</t>
        </is>
      </c>
      <c r="D100" s="23" t="inlineStr">
        <is>
          <t>Address what the load test surfaces</t>
        </is>
      </c>
      <c r="E100" s="25" t="inlineStr">
        <is>
          <t>To do</t>
        </is>
      </c>
      <c r="F100" s="23" t="inlineStr">
        <is>
          <t>From the delivery plan row that cites it.</t>
        </is>
      </c>
      <c r="G100" s="20" t="inlineStr">
        <is>
          <t>Phase 3 - Production Ready</t>
        </is>
      </c>
      <c r="H100" s="20" t="inlineStr">
        <is>
          <t>Sprint 6</t>
        </is>
      </c>
      <c r="I100" s="20" t="inlineStr">
        <is>
          <t>Backend</t>
        </is>
      </c>
      <c r="J100" s="20" t="inlineStr">
        <is>
          <t>Medium</t>
        </is>
      </c>
      <c r="K100" s="20" t="inlineStr">
        <is>
          <t>legal-workflow-service</t>
        </is>
      </c>
      <c r="L100" s="20" t="inlineStr">
        <is>
          <t>performance</t>
        </is>
      </c>
      <c r="M100" s="20" t="inlineStr">
        <is>
          <t>Identified bottlenecks are fixed or explicitly accepted with a documented limit.</t>
        </is>
      </c>
      <c r="N100" s="20" t="inlineStr">
        <is>
          <t>Likely candidates from the review: connection handling under concurrent SSE, queue throughput when conversion and extraction compete, and provider rate limits.</t>
        </is>
      </c>
    </row>
    <row r="101" ht="30" customHeight="1">
      <c r="A101" s="20" t="inlineStr">
        <is>
          <t>2100</t>
        </is>
      </c>
      <c r="B101" s="20" t="inlineStr"/>
      <c r="C101" s="20" t="inlineStr">
        <is>
          <t>Epic</t>
        </is>
      </c>
      <c r="D101" s="21" t="inlineStr">
        <is>
          <t>Launch</t>
        </is>
      </c>
      <c r="E101" s="22" t="inlineStr">
        <is>
          <t>In progress</t>
        </is>
      </c>
      <c r="F101" s="23" t="inlineStr">
        <is>
          <t>Rolled up from 2 children: 2 in progress.</t>
        </is>
      </c>
      <c r="G101" s="20" t="inlineStr">
        <is>
          <t>Phase 3 - Production Ready</t>
        </is>
      </c>
      <c r="H101" s="20" t="inlineStr">
        <is>
          <t>Sprint 6</t>
        </is>
      </c>
      <c r="I101" s="20" t="inlineStr">
        <is>
          <t>Platform</t>
        </is>
      </c>
      <c r="J101" s="20" t="inlineStr">
        <is>
          <t>Highest</t>
        </is>
      </c>
      <c r="K101" s="20" t="inlineStr">
        <is>
          <t>legal-workflow-service</t>
        </is>
      </c>
      <c r="L101" s="20" t="inlineStr">
        <is>
          <t>launch</t>
        </is>
      </c>
      <c r="M101" s="20" t="inlineStr">
        <is>
          <t>Production is live, verified, monitored, and licence-compliant.</t>
        </is>
      </c>
      <c r="N101" s="20" t="inlineStr">
        <is>
          <t>Final verification and cutover. Nothing here should surface a surprise - if it does, the preceding sprints were not finished.</t>
        </is>
      </c>
    </row>
    <row r="102" ht="30" customHeight="1">
      <c r="A102" s="20" t="inlineStr">
        <is>
          <t>2101</t>
        </is>
      </c>
      <c r="B102" s="20" t="inlineStr">
        <is>
          <t>2100</t>
        </is>
      </c>
      <c r="C102" s="20" t="inlineStr">
        <is>
          <t>Story</t>
        </is>
      </c>
      <c r="D102" s="23" t="inlineStr">
        <is>
          <t>Pre-launch verification</t>
        </is>
      </c>
      <c r="E102" s="22" t="inlineStr">
        <is>
          <t>In progress</t>
        </is>
      </c>
      <c r="F102" s="23" t="inlineStr">
        <is>
          <t>Rolled up from 3 children: 2 in progress, 1 to do.</t>
        </is>
      </c>
      <c r="G102" s="20" t="inlineStr">
        <is>
          <t>Phase 3 - Production Ready</t>
        </is>
      </c>
      <c r="H102" s="20" t="inlineStr">
        <is>
          <t>Sprint 6</t>
        </is>
      </c>
      <c r="I102" s="20" t="inlineStr">
        <is>
          <t>Platform</t>
        </is>
      </c>
      <c r="J102" s="20" t="inlineStr">
        <is>
          <t>Highest</t>
        </is>
      </c>
      <c r="K102" s="20" t="inlineStr">
        <is>
          <t>legal-workflow-service</t>
        </is>
      </c>
      <c r="L102" s="20" t="inlineStr">
        <is>
          <t>launch</t>
        </is>
      </c>
      <c r="M102" s="20" t="inlineStr">
        <is>
          <t>All suites green, compliance checklist signed off, security review complete.</t>
        </is>
      </c>
      <c r="N102" s="20" t="inlineStr">
        <is>
          <t>One pass over everything, against production configuration rather than staging assumptions.</t>
        </is>
      </c>
    </row>
    <row r="103" ht="30" customHeight="1">
      <c r="A103" s="20" t="inlineStr">
        <is>
          <t>2102</t>
        </is>
      </c>
      <c r="B103" s="20" t="inlineStr">
        <is>
          <t>2101</t>
        </is>
      </c>
      <c r="C103" s="20" t="inlineStr">
        <is>
          <t>Sub-task</t>
        </is>
      </c>
      <c r="D103" s="23" t="inlineStr">
        <is>
          <t>Run the full suite against production configuration</t>
        </is>
      </c>
      <c r="E103" s="25" t="inlineStr">
        <is>
          <t>To do</t>
        </is>
      </c>
      <c r="F103" s="23" t="inlineStr">
        <is>
          <t>From the delivery plan row that cites it.</t>
        </is>
      </c>
      <c r="G103" s="20" t="inlineStr">
        <is>
          <t>Phase 3 - Production Ready</t>
        </is>
      </c>
      <c r="H103" s="20" t="inlineStr">
        <is>
          <t>Sprint 6</t>
        </is>
      </c>
      <c r="I103" s="20" t="inlineStr">
        <is>
          <t>Platform</t>
        </is>
      </c>
      <c r="J103" s="20" t="inlineStr">
        <is>
          <t>Highest</t>
        </is>
      </c>
      <c r="K103" s="20" t="inlineStr">
        <is>
          <t>legal-workflow-service</t>
        </is>
      </c>
      <c r="L103" s="20" t="inlineStr">
        <is>
          <t>launch</t>
        </is>
      </c>
      <c r="M103" s="20" t="inlineStr">
        <is>
          <t>Every suite green against production configuration.</t>
        </is>
      </c>
      <c r="N103" s="20" t="inlineStr">
        <is>
          <t>Backend, frontend, stack tests, schema drift and the Playwright e2e suite, against the production build and configuration.</t>
        </is>
      </c>
    </row>
    <row r="104" ht="30" customHeight="1">
      <c r="A104" s="20" t="inlineStr">
        <is>
          <t>2103</t>
        </is>
      </c>
      <c r="B104" s="20" t="inlineStr">
        <is>
          <t>2101</t>
        </is>
      </c>
      <c r="C104" s="20" t="inlineStr">
        <is>
          <t>Sub-task</t>
        </is>
      </c>
      <c r="D104" s="23" t="inlineStr">
        <is>
          <t>Sign off the licence compliance checklist</t>
        </is>
      </c>
      <c r="E104" s="22" t="inlineStr">
        <is>
          <t>In progress</t>
        </is>
      </c>
      <c r="F104" s="23" t="inlineStr">
        <is>
          <t>From the delivery plan row that cites it.</t>
        </is>
      </c>
      <c r="G104" s="20" t="inlineStr">
        <is>
          <t>Phase 3 - Production Ready</t>
        </is>
      </c>
      <c r="H104" s="20" t="inlineStr">
        <is>
          <t>Sprint 6</t>
        </is>
      </c>
      <c r="I104" s="20" t="inlineStr">
        <is>
          <t>Platform</t>
        </is>
      </c>
      <c r="J104" s="20" t="inlineStr">
        <is>
          <t>Highest</t>
        </is>
      </c>
      <c r="K104" s="20" t="inlineStr">
        <is>
          <t>legal-workflow-service</t>
        </is>
      </c>
      <c r="L104" s="20" t="inlineStr">
        <is>
          <t>launch,compliance</t>
        </is>
      </c>
      <c r="M104" s="20" t="inlineStr">
        <is>
          <t>Every item checked against the running production application, not against intent.</t>
        </is>
      </c>
      <c r="N104" s="20" t="inlineStr">
        <is>
          <t>Ten items: LICENSE retained; modification notice with date; AGPL notice; Appropriate Legal Notices in the UI; prominent source offer matching the deployed commit; Apache licence copy; Apache notices retained and changed files marked; NOTICE attributions reproduced; no upstream trademarks; release ordering verified.</t>
        </is>
      </c>
    </row>
    <row r="105" ht="30" customHeight="1">
      <c r="A105" s="20" t="inlineStr">
        <is>
          <t>2104</t>
        </is>
      </c>
      <c r="B105" s="20" t="inlineStr">
        <is>
          <t>2101</t>
        </is>
      </c>
      <c r="C105" s="20" t="inlineStr">
        <is>
          <t>Sub-task</t>
        </is>
      </c>
      <c r="D105" s="23" t="inlineStr">
        <is>
          <t>Security review of the combined deployment</t>
        </is>
      </c>
      <c r="E105" s="22" t="inlineStr">
        <is>
          <t>In progress</t>
        </is>
      </c>
      <c r="F105" s="23" t="inlineStr">
        <is>
          <t>This repository half done: 3 findings, all fixed. Juralio side and the seam from its end outstanding.</t>
        </is>
      </c>
      <c r="G105" s="20" t="inlineStr">
        <is>
          <t>Phase 3 - Production Ready</t>
        </is>
      </c>
      <c r="H105" s="20" t="inlineStr">
        <is>
          <t>Sprint 6</t>
        </is>
      </c>
      <c r="I105" s="20" t="inlineStr">
        <is>
          <t>Platform</t>
        </is>
      </c>
      <c r="J105" s="20" t="inlineStr">
        <is>
          <t>Highest</t>
        </is>
      </c>
      <c r="K105" s="20" t="inlineStr">
        <is>
          <t>legal-workflow-service</t>
        </is>
      </c>
      <c r="L105" s="20" t="inlineStr">
        <is>
          <t>launch,security</t>
        </is>
      </c>
      <c r="M105" s="20" t="inlineStr">
        <is>
          <t>Review complete; findings triaged and either fixed or accepted in writing.</t>
        </is>
      </c>
      <c r="N105" s="20" t="inlineStr">
        <is>
          <t>The repository ships a security-review workflow. Run it across both repositories plus the integration seam, and treat the boundary itself as in scope.</t>
        </is>
      </c>
    </row>
    <row r="106" ht="30" customHeight="1">
      <c r="A106" s="20" t="inlineStr">
        <is>
          <t>2105</t>
        </is>
      </c>
      <c r="B106" s="20" t="inlineStr">
        <is>
          <t>2100</t>
        </is>
      </c>
      <c r="C106" s="20" t="inlineStr">
        <is>
          <t>Story</t>
        </is>
      </c>
      <c r="D106" s="23" t="inlineStr">
        <is>
          <t>Go live</t>
        </is>
      </c>
      <c r="E106" s="22" t="inlineStr">
        <is>
          <t>In progress</t>
        </is>
      </c>
      <c r="F106" s="23" t="inlineStr">
        <is>
          <t>Rolled up from 2 children: 1 in progress, 1 to do.</t>
        </is>
      </c>
      <c r="G106" s="20" t="inlineStr">
        <is>
          <t>Phase 3 - Production Ready</t>
        </is>
      </c>
      <c r="H106" s="20" t="inlineStr">
        <is>
          <t>Sprint 6</t>
        </is>
      </c>
      <c r="I106" s="20" t="inlineStr">
        <is>
          <t>Platform</t>
        </is>
      </c>
      <c r="J106" s="20" t="inlineStr">
        <is>
          <t>Highest</t>
        </is>
      </c>
      <c r="K106" s="20" t="inlineStr">
        <is>
          <t>legal-workflow-service</t>
        </is>
      </c>
      <c r="L106" s="20" t="inlineStr">
        <is>
          <t>launch</t>
        </is>
      </c>
      <c r="M106" s="20" t="inlineStr">
        <is>
          <t>Production serving real users with monitoring confirmed working.</t>
        </is>
      </c>
      <c r="N106" s="20" t="inlineStr">
        <is>
          <t>Cutover and the watched period immediately after it.</t>
        </is>
      </c>
    </row>
    <row r="107" ht="30" customHeight="1">
      <c r="A107" s="20" t="inlineStr">
        <is>
          <t>2106</t>
        </is>
      </c>
      <c r="B107" s="20" t="inlineStr">
        <is>
          <t>2105</t>
        </is>
      </c>
      <c r="C107" s="20" t="inlineStr">
        <is>
          <t>Sub-task</t>
        </is>
      </c>
      <c r="D107" s="23" t="inlineStr">
        <is>
          <t>Production cutover and smoke test</t>
        </is>
      </c>
      <c r="E107" s="22" t="inlineStr">
        <is>
          <t>In progress</t>
        </is>
      </c>
      <c r="F107" s="23" t="inlineStr">
        <is>
          <t>As 2105.</t>
        </is>
      </c>
      <c r="G107" s="20" t="inlineStr">
        <is>
          <t>Phase 3 - Production Ready</t>
        </is>
      </c>
      <c r="H107" s="20" t="inlineStr">
        <is>
          <t>Sprint 6</t>
        </is>
      </c>
      <c r="I107" s="20" t="inlineStr">
        <is>
          <t>Platform</t>
        </is>
      </c>
      <c r="J107" s="20" t="inlineStr">
        <is>
          <t>Highest</t>
        </is>
      </c>
      <c r="K107" s="20" t="inlineStr">
        <is>
          <t>legal-workflow-service</t>
        </is>
      </c>
      <c r="L107" s="20" t="inlineStr">
        <is>
          <t>launch</t>
        </is>
      </c>
      <c r="M107" s="20" t="inlineStr">
        <is>
          <t>Every smoke path passes against production; the source link resolves correctly.</t>
        </is>
      </c>
      <c r="N107" s="20" t="inlineStr">
        <is>
          <t>Deploy to production, run the smoke path end to end - signup, upload, chat with a document, run a workflow, run a tabular review, export - and confirm the source offer link resolves to the deployed commit.</t>
        </is>
      </c>
    </row>
    <row r="108" ht="30" customHeight="1">
      <c r="A108" s="20" t="inlineStr">
        <is>
          <t>2107</t>
        </is>
      </c>
      <c r="B108" s="20" t="inlineStr">
        <is>
          <t>2105</t>
        </is>
      </c>
      <c r="C108" s="20" t="inlineStr">
        <is>
          <t>Sub-task</t>
        </is>
      </c>
      <c r="D108" s="23" t="inlineStr">
        <is>
          <t>Post-launch monitoring window</t>
        </is>
      </c>
      <c r="E108" s="25" t="inlineStr">
        <is>
          <t>To do</t>
        </is>
      </c>
      <c r="F108" s="23" t="inlineStr">
        <is>
          <t>From the delivery plan row that cites it.</t>
        </is>
      </c>
      <c r="G108" s="20" t="inlineStr">
        <is>
          <t>Phase 3 - Production Ready</t>
        </is>
      </c>
      <c r="H108" s="20" t="inlineStr">
        <is>
          <t>Sprint 6</t>
        </is>
      </c>
      <c r="I108" s="20" t="inlineStr">
        <is>
          <t>Platform</t>
        </is>
      </c>
      <c r="J108" s="20" t="inlineStr">
        <is>
          <t>Highest</t>
        </is>
      </c>
      <c r="K108" s="20" t="inlineStr">
        <is>
          <t>legal-workflow-service</t>
        </is>
      </c>
      <c r="L108" s="20" t="inlineStr">
        <is>
          <t>launch</t>
        </is>
      </c>
      <c r="M108" s="20" t="inlineStr">
        <is>
          <t>The window completes with no unresolved incident and alerting proven working.</t>
        </is>
      </c>
      <c r="N108" s="20" t="inlineStr">
        <is>
          <t>A defined watch period with alerting confirmed live, a rollback rehearsed, and someone accountable for responding.</t>
        </is>
      </c>
    </row>
    <row r="109" ht="30" customHeight="1">
      <c r="A109" s="20" t="inlineStr">
        <is>
          <t>2110</t>
        </is>
      </c>
      <c r="B109" s="20" t="inlineStr"/>
      <c r="C109" s="20" t="inlineStr">
        <is>
          <t>Epic</t>
        </is>
      </c>
      <c r="D109" s="21" t="inlineStr">
        <is>
          <t>Run the platform services on AWS instead of Supabase</t>
        </is>
      </c>
      <c r="E109" s="22" t="inlineStr">
        <is>
          <t>In progress</t>
        </is>
      </c>
      <c r="F109" s="23" t="inlineStr">
        <is>
          <t>Rolled up from 6 children: 4 in progress, 2 to do.</t>
        </is>
      </c>
      <c r="G109" s="20" t="inlineStr">
        <is>
          <t>Phase 4 - Self-hosted platform</t>
        </is>
      </c>
      <c r="H109" s="20" t="inlineStr">
        <is>
          <t>Sprint 7</t>
        </is>
      </c>
      <c r="I109" s="20" t="inlineStr">
        <is>
          <t>Infrastructure</t>
        </is>
      </c>
      <c r="J109" s="20" t="inlineStr">
        <is>
          <t>Highest</t>
        </is>
      </c>
      <c r="K109" s="20" t="inlineStr">
        <is>
          <t>legal-workflow-service</t>
        </is>
      </c>
      <c r="L109" s="20" t="inlineStr">
        <is>
          <t>platform,migration</t>
        </is>
      </c>
      <c r="M109" s="20" t="inlineStr">
        <is>
          <t>SUPABASE_URL points at infrastructure in this AWS account; the Supabase project can be deleted with no loss of function; backend and frontend test suites pass unchanged.</t>
        </is>
      </c>
      <c r="N109" s="20" t="inlineStr">
        <is>
          <t>Supabase is used for exactly three things: Postgres, PostgREST and GoTrue (auth). Realtime, Supabase Storage and Edge Functions are unused, and the schema carries no RLS policies — tenancy is enforced in handlers and gated by `npm run tenancy`. All three components are open source and run as ordinary containers, so the platform can move to AWS without touching application code: the 556 `.from(...)` call sites, 39 `.rpc(...)` calls and the auth surface keep speaking the same protocols. schema.sql references auth.users 43 times and GoTrue creates that same schema, so the foreign keys survive a move that Cognito would have broken.</t>
        </is>
      </c>
    </row>
    <row r="110" ht="30" customHeight="1">
      <c r="A110" s="20" t="inlineStr">
        <is>
          <t>2111</t>
        </is>
      </c>
      <c r="B110" s="20" t="inlineStr">
        <is>
          <t>2110</t>
        </is>
      </c>
      <c r="C110" s="20" t="inlineStr">
        <is>
          <t>Story</t>
        </is>
      </c>
      <c r="D110" s="23" t="inlineStr">
        <is>
          <t>Postgres on RDS</t>
        </is>
      </c>
      <c r="E110" s="22" t="inlineStr">
        <is>
          <t>In progress</t>
        </is>
      </c>
      <c r="F110" s="23" t="inlineStr">
        <is>
          <t>Rolled up from 2 children: 1 done, 1 to do.</t>
        </is>
      </c>
      <c r="G110" s="20" t="inlineStr">
        <is>
          <t>Phase 4 - Self-hosted platform</t>
        </is>
      </c>
      <c r="H110" s="20" t="inlineStr">
        <is>
          <t>Sprint 7</t>
        </is>
      </c>
      <c r="I110" s="20" t="inlineStr">
        <is>
          <t>Infrastructure</t>
        </is>
      </c>
      <c r="J110" s="20" t="inlineStr">
        <is>
          <t>Highest</t>
        </is>
      </c>
      <c r="K110" s="20" t="inlineStr">
        <is>
          <t>legal-workflow-service</t>
        </is>
      </c>
      <c r="L110" s="20" t="inlineStr">
        <is>
          <t>platform,migration</t>
        </is>
      </c>
      <c r="M110" s="20" t="inlineStr">
        <is>
          <t>An RDS instance serves the schema; a restored dump matches the fresh-install schema by the same check schema-drift.yml already runs.</t>
        </is>
      </c>
      <c r="N110" s="20" t="inlineStr">
        <is>
          <t>Replace the Supabase-managed database with RDS, matching the engine version currently in use (17.6) so no dump/restore incompatibility arises.</t>
        </is>
      </c>
    </row>
    <row r="111" ht="30" customHeight="1">
      <c r="A111" s="20" t="inlineStr">
        <is>
          <t>2112</t>
        </is>
      </c>
      <c r="B111" s="20" t="inlineStr">
        <is>
          <t>2111</t>
        </is>
      </c>
      <c r="C111" s="20" t="inlineStr">
        <is>
          <t>Sub-task</t>
        </is>
      </c>
      <c r="D111" s="23" t="inlineStr">
        <is>
          <t>RDS Terraform module</t>
        </is>
      </c>
      <c r="E111" s="24" t="inlineStr">
        <is>
          <t>Done</t>
        </is>
      </c>
      <c r="F111" s="23" t="inlineStr">
        <is>
          <t>infra/modules/database, wired behind platform_enabled; plan row 5.1.</t>
        </is>
      </c>
      <c r="G111" s="20" t="inlineStr">
        <is>
          <t>Phase 4 - Self-hosted platform</t>
        </is>
      </c>
      <c r="H111" s="20" t="inlineStr">
        <is>
          <t>Sprint 7</t>
        </is>
      </c>
      <c r="I111" s="20" t="inlineStr">
        <is>
          <t>Infrastructure</t>
        </is>
      </c>
      <c r="J111" s="20" t="inlineStr">
        <is>
          <t>Highest</t>
        </is>
      </c>
      <c r="K111" s="20" t="inlineStr">
        <is>
          <t>legal-workflow-service</t>
        </is>
      </c>
      <c r="L111" s="20" t="inlineStr">
        <is>
          <t>platform,migration</t>
        </is>
      </c>
      <c r="M111" s="20" t="inlineStr">
        <is>
          <t>terraform apply creates the instance; only the backend security group can reach 5432; backups are on.</t>
        </is>
      </c>
      <c r="N111" s="20" t="inlineStr">
        <is>
          <t>Instance, subnet group in the existing private subnets, security group admitting the ECS tasks only, parameter group, automated backups and a retention window consistent with the document bucket's.</t>
        </is>
      </c>
    </row>
    <row r="112" ht="30" customHeight="1">
      <c r="A112" s="20" t="inlineStr">
        <is>
          <t>2113</t>
        </is>
      </c>
      <c r="B112" s="20" t="inlineStr">
        <is>
          <t>2111</t>
        </is>
      </c>
      <c r="C112" s="20" t="inlineStr">
        <is>
          <t>Sub-task</t>
        </is>
      </c>
      <c r="D112" s="23" t="inlineStr">
        <is>
          <t>Dump and restore, including the auth schema</t>
        </is>
      </c>
      <c r="E112" s="25" t="inlineStr">
        <is>
          <t>To do</t>
        </is>
      </c>
      <c r="F112" s="23" t="inlineStr">
        <is>
          <t>Stage 5, added 17 September 2026.</t>
        </is>
      </c>
      <c r="G112" s="20" t="inlineStr">
        <is>
          <t>Phase 4 - Self-hosted platform</t>
        </is>
      </c>
      <c r="H112" s="20" t="inlineStr">
        <is>
          <t>Sprint 7</t>
        </is>
      </c>
      <c r="I112" s="20" t="inlineStr">
        <is>
          <t>Backend</t>
        </is>
      </c>
      <c r="J112" s="20" t="inlineStr">
        <is>
          <t>Highest</t>
        </is>
      </c>
      <c r="K112" s="20" t="inlineStr">
        <is>
          <t>legal-workflow-service</t>
        </is>
      </c>
      <c r="L112" s="20" t="inlineStr">
        <is>
          <t>platform,migration</t>
        </is>
      </c>
      <c r="M112" s="20" t="inlineStr">
        <is>
          <t>Row counts match per table; every user can still sign in after cutover; schema-drift passes against the restored database.</t>
        </is>
      </c>
      <c r="N112" s="20" t="inlineStr">
        <is>
          <t>pg_dump the Supabase project and restore into RDS. The auth schema must come across intact — it holds the users, and schema.sql has 43 references to auth.users. Both sides run GoTrue, so the schema shape is compatible.</t>
        </is>
      </c>
    </row>
    <row r="113" ht="30" customHeight="1">
      <c r="A113" s="20" t="inlineStr">
        <is>
          <t>2114</t>
        </is>
      </c>
      <c r="B113" s="20" t="inlineStr">
        <is>
          <t>2110</t>
        </is>
      </c>
      <c r="C113" s="20" t="inlineStr">
        <is>
          <t>Story</t>
        </is>
      </c>
      <c r="D113" s="23" t="inlineStr">
        <is>
          <t>PostgREST as an ECS service</t>
        </is>
      </c>
      <c r="E113" s="22" t="inlineStr">
        <is>
          <t>In progress</t>
        </is>
      </c>
      <c r="F113" s="23" t="inlineStr">
        <is>
          <t>Rolled up from 1 child: 1 done. Closes when the backend's queries succeed against the self-hosted endpoint after cutover.</t>
        </is>
      </c>
      <c r="G113" s="20" t="inlineStr">
        <is>
          <t>Phase 4 - Self-hosted platform</t>
        </is>
      </c>
      <c r="H113" s="20" t="inlineStr">
        <is>
          <t>Sprint 7</t>
        </is>
      </c>
      <c r="I113" s="20" t="inlineStr">
        <is>
          <t>Infrastructure</t>
        </is>
      </c>
      <c r="J113" s="20" t="inlineStr">
        <is>
          <t>Highest</t>
        </is>
      </c>
      <c r="K113" s="20" t="inlineStr">
        <is>
          <t>legal-workflow-service</t>
        </is>
      </c>
      <c r="L113" s="20" t="inlineStr">
        <is>
          <t>platform,migration</t>
        </is>
      </c>
      <c r="M113" s="20" t="inlineStr">
        <is>
          <t>The backend's existing queries succeed against the self-hosted endpoint with no application change.</t>
        </is>
      </c>
      <c r="N113" s="20" t="inlineStr">
        <is>
          <t>The 556 data-access call sites speak PostgREST. Running it ourselves keeps every one of them working.</t>
        </is>
      </c>
    </row>
    <row r="114" ht="30" customHeight="1">
      <c r="A114" s="20" t="inlineStr">
        <is>
          <t>2115</t>
        </is>
      </c>
      <c r="B114" s="20" t="inlineStr">
        <is>
          <t>2114</t>
        </is>
      </c>
      <c r="C114" s="20" t="inlineStr">
        <is>
          <t>Sub-task</t>
        </is>
      </c>
      <c r="D114" s="23" t="inlineStr">
        <is>
          <t>PostgREST task definition and service</t>
        </is>
      </c>
      <c r="E114" s="24" t="inlineStr">
        <is>
          <t>Done</t>
        </is>
      </c>
      <c r="F114" s="23" t="inlineStr">
        <is>
          <t>infra/modules/postgrest and the service_role RLS policy migration; plan row 5.3.</t>
        </is>
      </c>
      <c r="G114" s="20" t="inlineStr">
        <is>
          <t>Phase 4 - Self-hosted platform</t>
        </is>
      </c>
      <c r="H114" s="20" t="inlineStr">
        <is>
          <t>Sprint 7</t>
        </is>
      </c>
      <c r="I114" s="20" t="inlineStr">
        <is>
          <t>Infrastructure</t>
        </is>
      </c>
      <c r="J114" s="20" t="inlineStr">
        <is>
          <t>Highest</t>
        </is>
      </c>
      <c r="K114" s="20" t="inlineStr">
        <is>
          <t>legal-workflow-service</t>
        </is>
      </c>
      <c r="L114" s="20" t="inlineStr">
        <is>
          <t>platform,migration</t>
        </is>
      </c>
      <c r="M114" s="20" t="inlineStr">
        <is>
          <t>The service is stable and answers /rest/v1/ behind the load balancer.</t>
        </is>
      </c>
      <c r="N114" s="20" t="inlineStr">
        <is>
          <t>Container on the existing Fargate cluster, in the private subnets, configured with the RDS URI, the anon role and the shared JWT secret.</t>
        </is>
      </c>
    </row>
    <row r="115" ht="30" customHeight="1">
      <c r="A115" s="20" t="inlineStr">
        <is>
          <t>2116</t>
        </is>
      </c>
      <c r="B115" s="20" t="inlineStr">
        <is>
          <t>2110</t>
        </is>
      </c>
      <c r="C115" s="20" t="inlineStr">
        <is>
          <t>Story</t>
        </is>
      </c>
      <c r="D115" s="23" t="inlineStr">
        <is>
          <t>GoTrue as an ECS service</t>
        </is>
      </c>
      <c r="E115" s="22" t="inlineStr">
        <is>
          <t>In progress</t>
        </is>
      </c>
      <c r="F115" s="23" t="inlineStr">
        <is>
          <t>Rolled up from 3 children: 1 done, 2 in progress.</t>
        </is>
      </c>
      <c r="G115" s="20" t="inlineStr">
        <is>
          <t>Phase 4 - Self-hosted platform</t>
        </is>
      </c>
      <c r="H115" s="20" t="inlineStr">
        <is>
          <t>Sprint 7</t>
        </is>
      </c>
      <c r="I115" s="20" t="inlineStr">
        <is>
          <t>Infrastructure</t>
        </is>
      </c>
      <c r="J115" s="20" t="inlineStr">
        <is>
          <t>Highest</t>
        </is>
      </c>
      <c r="K115" s="20" t="inlineStr">
        <is>
          <t>legal-workflow-service</t>
        </is>
      </c>
      <c r="L115" s="20" t="inlineStr">
        <is>
          <t>platform,migration</t>
        </is>
      </c>
      <c r="M115" s="20" t="inlineStr">
        <is>
          <t>Sign-up, sign-in, MFA enrolment and verification, password reset and Google sign-in all work against the self-hosted endpoint.</t>
        </is>
      </c>
      <c r="N115" s="20" t="inlineStr">
        <is>
          <t>Auth is the part that would have been expensive to replace. Running GoTrue keeps sessions, JWT issuance, MFA, password reset and the Google provider exactly as the application already expects them.</t>
        </is>
      </c>
    </row>
    <row r="116" ht="30" customHeight="1">
      <c r="A116" s="20" t="inlineStr">
        <is>
          <t>2117</t>
        </is>
      </c>
      <c r="B116" s="20" t="inlineStr">
        <is>
          <t>2116</t>
        </is>
      </c>
      <c r="C116" s="20" t="inlineStr">
        <is>
          <t>Sub-task</t>
        </is>
      </c>
      <c r="D116" s="23" t="inlineStr">
        <is>
          <t>GoTrue task definition and service</t>
        </is>
      </c>
      <c r="E116" s="24" t="inlineStr">
        <is>
          <t>Done</t>
        </is>
      </c>
      <c r="F116" s="23" t="inlineStr">
        <is>
          <t>infra/modules/gotrue; plan row 5.4.</t>
        </is>
      </c>
      <c r="G116" s="20" t="inlineStr">
        <is>
          <t>Phase 4 - Self-hosted platform</t>
        </is>
      </c>
      <c r="H116" s="20" t="inlineStr">
        <is>
          <t>Sprint 7</t>
        </is>
      </c>
      <c r="I116" s="20" t="inlineStr">
        <is>
          <t>Infrastructure</t>
        </is>
      </c>
      <c r="J116" s="20" t="inlineStr">
        <is>
          <t>Highest</t>
        </is>
      </c>
      <c r="K116" s="20" t="inlineStr">
        <is>
          <t>legal-workflow-service</t>
        </is>
      </c>
      <c r="L116" s="20" t="inlineStr">
        <is>
          <t>platform,migration</t>
        </is>
      </c>
      <c r="M116" s="20" t="inlineStr">
        <is>
          <t>The service is stable and answers /auth/v1/health.</t>
        </is>
      </c>
      <c r="N116" s="20" t="inlineStr">
        <is>
          <t>Container on the existing cluster with the RDS URI, the shared JWT secret, the site URL and redirect allow-list.</t>
        </is>
      </c>
    </row>
    <row r="117" ht="30" customHeight="1">
      <c r="A117" s="20" t="inlineStr">
        <is>
          <t>2118</t>
        </is>
      </c>
      <c r="B117" s="20" t="inlineStr">
        <is>
          <t>2116</t>
        </is>
      </c>
      <c r="C117" s="20" t="inlineStr">
        <is>
          <t>Sub-task</t>
        </is>
      </c>
      <c r="D117" s="23" t="inlineStr">
        <is>
          <t>Auth email through SES</t>
        </is>
      </c>
      <c r="E117" s="22" t="inlineStr">
        <is>
          <t>In progress</t>
        </is>
      </c>
      <c r="F117" s="23" t="inlineStr">
        <is>
          <t>Wired to the email module's SES credential (plan row 5.5); the deliverability check needs the running service.</t>
        </is>
      </c>
      <c r="G117" s="20" t="inlineStr">
        <is>
          <t>Phase 4 - Self-hosted platform</t>
        </is>
      </c>
      <c r="H117" s="20" t="inlineStr">
        <is>
          <t>Sprint 7</t>
        </is>
      </c>
      <c r="I117" s="20" t="inlineStr">
        <is>
          <t>Infrastructure</t>
        </is>
      </c>
      <c r="J117" s="20" t="inlineStr">
        <is>
          <t>High</t>
        </is>
      </c>
      <c r="K117" s="20" t="inlineStr">
        <is>
          <t>legal-workflow-service</t>
        </is>
      </c>
      <c r="L117" s="20" t="inlineStr">
        <is>
          <t>platform,migration</t>
        </is>
      </c>
      <c r="M117" s="20" t="inlineStr">
        <is>
          <t>A sign-up confirmation and a password reset both arrive, pass SPF/DKIM/DMARC, and are not marked spam.</t>
        </is>
      </c>
      <c r="N117" s="20" t="inlineStr">
        <is>
          <t>Point GoTrue's SMTP at the SES credentials the email module already provisions, so confirmation and recovery mail sends from the project's own domain with DKIM and DMARC already in place.</t>
        </is>
      </c>
    </row>
    <row r="118" ht="30" customHeight="1">
      <c r="A118" s="20" t="inlineStr">
        <is>
          <t>2119</t>
        </is>
      </c>
      <c r="B118" s="20" t="inlineStr">
        <is>
          <t>2116</t>
        </is>
      </c>
      <c r="C118" s="20" t="inlineStr">
        <is>
          <t>Sub-task</t>
        </is>
      </c>
      <c r="D118" s="23" t="inlineStr">
        <is>
          <t>Carry the Google OAuth provider across</t>
        </is>
      </c>
      <c r="E118" s="22" t="inlineStr">
        <is>
          <t>In progress</t>
        </is>
      </c>
      <c r="F118" s="23" t="inlineStr">
        <is>
          <t>Provider, secret container and redirect URI in place (plan row 5.6); the operator adds the URI and writes the client (Stage 5, Task 3).</t>
        </is>
      </c>
      <c r="G118" s="20" t="inlineStr">
        <is>
          <t>Phase 4 - Self-hosted platform</t>
        </is>
      </c>
      <c r="H118" s="20" t="inlineStr">
        <is>
          <t>Sprint 7</t>
        </is>
      </c>
      <c r="I118" s="20" t="inlineStr">
        <is>
          <t>Infrastructure</t>
        </is>
      </c>
      <c r="J118" s="20" t="inlineStr">
        <is>
          <t>High</t>
        </is>
      </c>
      <c r="K118" s="20" t="inlineStr">
        <is>
          <t>legal-workflow-service</t>
        </is>
      </c>
      <c r="L118" s="20" t="inlineStr">
        <is>
          <t>platform,migration</t>
        </is>
      </c>
      <c r="M118" s="20" t="inlineStr">
        <is>
          <t>Google sign-in completes end to end against the self-hosted endpoint.</t>
        </is>
      </c>
      <c r="N118" s="20" t="inlineStr">
        <is>
          <t>SUPABASE_AUTH_EXTERNAL_GOOGLE_CLIENT_ID and _SECRET move to GoTrue's configuration, and the Google console's authorised redirect URI is updated to the new auth host.</t>
        </is>
      </c>
    </row>
    <row r="119" ht="30" customHeight="1">
      <c r="A119" s="20" t="inlineStr">
        <is>
          <t>2120</t>
        </is>
      </c>
      <c r="B119" s="20" t="inlineStr">
        <is>
          <t>2110</t>
        </is>
      </c>
      <c r="C119" s="20" t="inlineStr">
        <is>
          <t>Story</t>
        </is>
      </c>
      <c r="D119" s="23" t="inlineStr">
        <is>
          <t>Own the JWT secret and the API keys</t>
        </is>
      </c>
      <c r="E119" s="22" t="inlineStr">
        <is>
          <t>In progress</t>
        </is>
      </c>
      <c r="F119" s="23" t="inlineStr">
        <is>
          <t>Rolled up from 1 child: 1 done. Closes when the runbook has been walked once against the applied footprint.</t>
        </is>
      </c>
      <c r="G119" s="20" t="inlineStr">
        <is>
          <t>Phase 4 - Self-hosted platform</t>
        </is>
      </c>
      <c r="H119" s="20" t="inlineStr">
        <is>
          <t>Sprint 7</t>
        </is>
      </c>
      <c r="I119" s="20" t="inlineStr">
        <is>
          <t>Infrastructure</t>
        </is>
      </c>
      <c r="J119" s="20" t="inlineStr">
        <is>
          <t>Highest</t>
        </is>
      </c>
      <c r="K119" s="20" t="inlineStr">
        <is>
          <t>legal-workflow-service</t>
        </is>
      </c>
      <c r="L119" s="20" t="inlineStr">
        <is>
          <t>platform,migration,security</t>
        </is>
      </c>
      <c r="M119" s="20" t="inlineStr">
        <is>
          <t>The JWT secret lives in Secrets Manager; anon and service_role keys are generated from it and documented; a rotation procedure exists and has been walked once.</t>
        </is>
      </c>
      <c r="N119" s="20" t="inlineStr">
        <is>
          <t>The anon and service_role keys are JWTs signed with the project's JWT secret. Self-hosting means minting them, which removes the class of failure that stopped deploys 12 to 14: a key nobody could verify, rotate or reason about.</t>
        </is>
      </c>
    </row>
    <row r="120" ht="30" customHeight="1">
      <c r="A120" s="20" t="inlineStr">
        <is>
          <t>2121</t>
        </is>
      </c>
      <c r="B120" s="20" t="inlineStr">
        <is>
          <t>2120</t>
        </is>
      </c>
      <c r="C120" s="20" t="inlineStr">
        <is>
          <t>Sub-task</t>
        </is>
      </c>
      <c r="D120" s="23" t="inlineStr">
        <is>
          <t>Key generation and rotation runbook</t>
        </is>
      </c>
      <c r="E120" s="24" t="inlineStr">
        <is>
          <t>Done</t>
        </is>
      </c>
      <c r="F120" s="23" t="inlineStr">
        <is>
          <t>infra/modules/keys, scripts/platform-keys.mjs, docs/runbooks/api-keys.md; plan row 5.7.</t>
        </is>
      </c>
      <c r="G120" s="20" t="inlineStr">
        <is>
          <t>Phase 4 - Self-hosted platform</t>
        </is>
      </c>
      <c r="H120" s="20" t="inlineStr">
        <is>
          <t>Sprint 7</t>
        </is>
      </c>
      <c r="I120" s="20" t="inlineStr">
        <is>
          <t>Infrastructure</t>
        </is>
      </c>
      <c r="J120" s="20" t="inlineStr">
        <is>
          <t>High</t>
        </is>
      </c>
      <c r="K120" s="20" t="inlineStr">
        <is>
          <t>legal-workflow-service</t>
        </is>
      </c>
      <c r="L120" s="20" t="inlineStr">
        <is>
          <t>platform,migration,security</t>
        </is>
      </c>
      <c r="M120" s="20" t="inlineStr">
        <is>
          <t>A runbook exists; following it produces a key that the stack accepts; the verification step fails loudly on a bad key.</t>
        </is>
      </c>
      <c r="N120" s="20" t="inlineStr">
        <is>
          <t>How to mint anon and service_role JWTs from the secret, how to roll them, and how to verify one before writing it — the check that was missing when an unverifiable value cost three failed releases.</t>
        </is>
      </c>
    </row>
    <row r="121" ht="30" customHeight="1">
      <c r="A121" s="20" t="inlineStr">
        <is>
          <t>2122</t>
        </is>
      </c>
      <c r="B121" s="20" t="inlineStr">
        <is>
          <t>2110</t>
        </is>
      </c>
      <c r="C121" s="20" t="inlineStr">
        <is>
          <t>Story</t>
        </is>
      </c>
      <c r="D121" s="23" t="inlineStr">
        <is>
          <t>Routing and configuration cutover</t>
        </is>
      </c>
      <c r="E121" s="25" t="inlineStr">
        <is>
          <t>To do</t>
        </is>
      </c>
      <c r="F121" s="23" t="inlineStr">
        <is>
          <t>Rolled up from 1 child: 1 to do.</t>
        </is>
      </c>
      <c r="G121" s="20" t="inlineStr">
        <is>
          <t>Phase 4 - Self-hosted platform</t>
        </is>
      </c>
      <c r="H121" s="20" t="inlineStr">
        <is>
          <t>Sprint 7</t>
        </is>
      </c>
      <c r="I121" s="20" t="inlineStr">
        <is>
          <t>Infrastructure</t>
        </is>
      </c>
      <c r="J121" s="20" t="inlineStr">
        <is>
          <t>Highest</t>
        </is>
      </c>
      <c r="K121" s="20" t="inlineStr">
        <is>
          <t>legal-workflow-service</t>
        </is>
      </c>
      <c r="L121" s="20" t="inlineStr">
        <is>
          <t>platform,migration</t>
        </is>
      </c>
      <c r="M121" s="20" t="inlineStr">
        <is>
          <t>Backend, frontend and Word add-in all reach the self-hosted endpoint; no application source change is required to do it.</t>
        </is>
      </c>
      <c r="N121" s="20" t="inlineStr">
        <is>
          <t>SUPABASE_URL moves from the Supabase project to the self-hosted endpoint. Everything else about the application stays as it is.</t>
        </is>
      </c>
    </row>
    <row r="122" ht="30" customHeight="1">
      <c r="A122" s="20" t="inlineStr">
        <is>
          <t>2123</t>
        </is>
      </c>
      <c r="B122" s="20" t="inlineStr">
        <is>
          <t>2122</t>
        </is>
      </c>
      <c r="C122" s="20" t="inlineStr">
        <is>
          <t>Sub-task</t>
        </is>
      </c>
      <c r="D122" s="23" t="inlineStr">
        <is>
          <t>Expose auth and REST through the load balancer</t>
        </is>
      </c>
      <c r="E122" s="25" t="inlineStr">
        <is>
          <t>To do</t>
        </is>
      </c>
      <c r="F122" s="23" t="inlineStr">
        <is>
          <t>Stage 5, added 17 September 2026.</t>
        </is>
      </c>
      <c r="G122" s="20" t="inlineStr">
        <is>
          <t>Phase 4 - Self-hosted platform</t>
        </is>
      </c>
      <c r="H122" s="20" t="inlineStr">
        <is>
          <t>Sprint 7</t>
        </is>
      </c>
      <c r="I122" s="20" t="inlineStr">
        <is>
          <t>Infrastructure</t>
        </is>
      </c>
      <c r="J122" s="20" t="inlineStr">
        <is>
          <t>High</t>
        </is>
      </c>
      <c r="K122" s="20" t="inlineStr">
        <is>
          <t>legal-workflow-service</t>
        </is>
      </c>
      <c r="L122" s="20" t="inlineStr">
        <is>
          <t>platform,migration,security</t>
        </is>
      </c>
      <c r="M122" s="20" t="inlineStr">
        <is>
          <t>Both paths answer through the edge; neither is reachable directly at the origin without the header gate.</t>
        </is>
      </c>
      <c r="N122" s="20" t="inlineStr">
        <is>
          <t>Path routing for /auth/v1/* and /rest/v1/* to the two new services, gated the same way the backend origin already is.</t>
        </is>
      </c>
    </row>
    <row r="123" ht="30" customHeight="1">
      <c r="A123" s="20" t="inlineStr">
        <is>
          <t>2124</t>
        </is>
      </c>
      <c r="B123" s="20" t="inlineStr">
        <is>
          <t>2110</t>
        </is>
      </c>
      <c r="C123" s="20" t="inlineStr">
        <is>
          <t>Story</t>
        </is>
      </c>
      <c r="D123" s="23" t="inlineStr">
        <is>
          <t>Cutover and decommission</t>
        </is>
      </c>
      <c r="E123" s="25" t="inlineStr">
        <is>
          <t>To do</t>
        </is>
      </c>
      <c r="F123" s="23" t="inlineStr">
        <is>
          <t>Rolled up from 2 children: 2 to do.</t>
        </is>
      </c>
      <c r="G123" s="20" t="inlineStr">
        <is>
          <t>Phase 4 - Self-hosted platform</t>
        </is>
      </c>
      <c r="H123" s="20" t="inlineStr">
        <is>
          <t>Sprint 7</t>
        </is>
      </c>
      <c r="I123" s="20" t="inlineStr">
        <is>
          <t>Platform</t>
        </is>
      </c>
      <c r="J123" s="20" t="inlineStr">
        <is>
          <t>High</t>
        </is>
      </c>
      <c r="K123" s="20" t="inlineStr">
        <is>
          <t>legal-workflow-service</t>
        </is>
      </c>
      <c r="L123" s="20" t="inlineStr">
        <is>
          <t>platform,migration</t>
        </is>
      </c>
      <c r="M123" s="20" t="inlineStr">
        <is>
          <t>The application runs entirely on AWS; the Supabase project is deleted; docs and runbooks no longer describe it as a dependency.</t>
        </is>
      </c>
      <c r="N123" s="20" t="inlineStr">
        <is>
          <t>Move traffic, prove it, then remove the dependency.</t>
        </is>
      </c>
    </row>
    <row r="124" ht="30" customHeight="1">
      <c r="A124" s="20" t="inlineStr">
        <is>
          <t>2125</t>
        </is>
      </c>
      <c r="B124" s="20" t="inlineStr">
        <is>
          <t>2124</t>
        </is>
      </c>
      <c r="C124" s="20" t="inlineStr">
        <is>
          <t>Sub-task</t>
        </is>
      </c>
      <c r="D124" s="23" t="inlineStr">
        <is>
          <t>Rehearse the cutover and the rollback</t>
        </is>
      </c>
      <c r="E124" s="25" t="inlineStr">
        <is>
          <t>To do</t>
        </is>
      </c>
      <c r="F124" s="23" t="inlineStr">
        <is>
          <t>Stage 5, added 17 September 2026.</t>
        </is>
      </c>
      <c r="G124" s="20" t="inlineStr">
        <is>
          <t>Phase 4 - Self-hosted platform</t>
        </is>
      </c>
      <c r="H124" s="20" t="inlineStr">
        <is>
          <t>Sprint 7</t>
        </is>
      </c>
      <c r="I124" s="20" t="inlineStr">
        <is>
          <t>Infrastructure</t>
        </is>
      </c>
      <c r="J124" s="20" t="inlineStr">
        <is>
          <t>Highest</t>
        </is>
      </c>
      <c r="K124" s="20" t="inlineStr">
        <is>
          <t>legal-workflow-service</t>
        </is>
      </c>
      <c r="L124" s="20" t="inlineStr">
        <is>
          <t>platform,migration</t>
        </is>
      </c>
      <c r="M124" s="20" t="inlineStr">
        <is>
          <t>A rehearsal completes on a copy; the rollback is exercised, not just written down.</t>
        </is>
      </c>
      <c r="N124" s="20" t="inlineStr">
        <is>
          <t>Dump, restore, repoint, verify, and prove the way back before doing it for real. The rollback target is the Supabase project, still live and unchanged until the rehearsal has passed.</t>
        </is>
      </c>
    </row>
    <row r="125" ht="30" customHeight="1">
      <c r="A125" s="20" t="inlineStr">
        <is>
          <t>2126</t>
        </is>
      </c>
      <c r="B125" s="20" t="inlineStr">
        <is>
          <t>2124</t>
        </is>
      </c>
      <c r="C125" s="20" t="inlineStr">
        <is>
          <t>Sub-task</t>
        </is>
      </c>
      <c r="D125" s="23" t="inlineStr">
        <is>
          <t>Update the documentation</t>
        </is>
      </c>
      <c r="E125" s="25" t="inlineStr">
        <is>
          <t>To do</t>
        </is>
      </c>
      <c r="F125" s="23" t="inlineStr">
        <is>
          <t>Stage 5, added 17 September 2026.</t>
        </is>
      </c>
      <c r="G125" s="20" t="inlineStr">
        <is>
          <t>Phase 4 - Self-hosted platform</t>
        </is>
      </c>
      <c r="H125" s="20" t="inlineStr">
        <is>
          <t>Sprint 7</t>
        </is>
      </c>
      <c r="I125" s="20" t="inlineStr">
        <is>
          <t>Platform</t>
        </is>
      </c>
      <c r="J125" s="20" t="inlineStr">
        <is>
          <t>Medium</t>
        </is>
      </c>
      <c r="K125" s="20" t="inlineStr">
        <is>
          <t>legal-workflow-service</t>
        </is>
      </c>
      <c r="L125" s="20" t="inlineStr">
        <is>
          <t>platform,migration</t>
        </is>
      </c>
      <c r="M125" s="20" t="inlineStr">
        <is>
          <t>No document tells an operator to sign in to Supabase for anything that still matters.</t>
        </is>
      </c>
      <c r="N125" s="20" t="inlineStr">
        <is>
          <t>docs/deployment.md, the runbooks, the first-apply guide and AGENTS.md all describe Supabase as an external dependency. After cutover they describe AWS services.</t>
        </is>
      </c>
    </row>
  </sheetData>
  <autoFilter ref="A1:N1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56" customWidth="1" min="3" max="3"/>
    <col width="13" customWidth="1" min="4" max="4"/>
    <col width="70" customWidth="1" min="5" max="5"/>
    <col width="27" customWidth="1" min="6" max="6"/>
    <col width="10" customWidth="1" min="7" max="7"/>
    <col width="15" customWidth="1" min="8" max="8"/>
    <col width="10" customWidth="1" min="9" max="9"/>
  </cols>
  <sheetData>
    <row r="1">
      <c r="A1" s="1" t="inlineStr">
        <is>
          <t>Outstanding work</t>
        </is>
      </c>
    </row>
    <row r="2">
      <c r="A2" s="2" t="inlineStr">
        <is>
          <t>Every ticket not yet Done, ordered by phase, then sprint, then priority. Deferred, superseded and won't-do tickets are on the Tickets sheet.</t>
        </is>
      </c>
    </row>
    <row r="4" ht="22" customHeight="1">
      <c r="A4" s="4" t="inlineStr">
        <is>
          <t>Issue Id</t>
        </is>
      </c>
      <c r="B4" s="4" t="inlineStr">
        <is>
          <t>Issue Type</t>
        </is>
      </c>
      <c r="C4" s="4" t="inlineStr">
        <is>
          <t>Summary</t>
        </is>
      </c>
      <c r="D4" s="4" t="inlineStr">
        <is>
          <t>Status</t>
        </is>
      </c>
      <c r="E4" s="4" t="inlineStr">
        <is>
          <t>Status note</t>
        </is>
      </c>
      <c r="F4" s="4" t="inlineStr">
        <is>
          <t>Phase</t>
        </is>
      </c>
      <c r="G4" s="4" t="inlineStr">
        <is>
          <t>Sprint</t>
        </is>
      </c>
      <c r="H4" s="4" t="inlineStr">
        <is>
          <t>Component</t>
        </is>
      </c>
      <c r="I4" s="4" t="inlineStr">
        <is>
          <t>Priority</t>
        </is>
      </c>
    </row>
    <row r="5" ht="30" customHeight="1">
      <c r="A5" s="20" t="inlineStr">
        <is>
          <t>2001</t>
        </is>
      </c>
      <c r="B5" s="20" t="inlineStr">
        <is>
          <t>Epic</t>
        </is>
      </c>
      <c r="C5" s="21" t="inlineStr">
        <is>
          <t>Foundation: private repository and upstream tracking</t>
        </is>
      </c>
      <c r="D5" s="22" t="inlineStr">
        <is>
          <t>In progress</t>
        </is>
      </c>
      <c r="E5" s="23" t="inlineStr">
        <is>
          <t>Rolled up from 2 children: 1 done, 1 in progress.</t>
        </is>
      </c>
      <c r="F5" s="20" t="inlineStr">
        <is>
          <t>Phase 1 - Extraction</t>
        </is>
      </c>
      <c r="G5" s="20" t="inlineStr">
        <is>
          <t>Sprint 1</t>
        </is>
      </c>
      <c r="H5" s="20" t="inlineStr">
        <is>
          <t>Platform</t>
        </is>
      </c>
      <c r="I5" s="20" t="inlineStr">
        <is>
          <t>Highest</t>
        </is>
      </c>
    </row>
    <row r="6" ht="30" customHeight="1">
      <c r="A6" s="20" t="inlineStr">
        <is>
          <t>2010</t>
        </is>
      </c>
      <c r="B6" s="20" t="inlineStr">
        <is>
          <t>Epic</t>
        </is>
      </c>
      <c r="C6" s="21" t="inlineStr">
        <is>
          <t>Unblock the build</t>
        </is>
      </c>
      <c r="D6" s="22" t="inlineStr">
        <is>
          <t>In progress</t>
        </is>
      </c>
      <c r="E6" s="23" t="inlineStr">
        <is>
          <t>Rolled up from 2 children: 1 done, 1 to do.</t>
        </is>
      </c>
      <c r="F6" s="20" t="inlineStr">
        <is>
          <t>Phase 1 - Extraction</t>
        </is>
      </c>
      <c r="G6" s="20" t="inlineStr">
        <is>
          <t>Sprint 1</t>
        </is>
      </c>
      <c r="H6" s="20" t="inlineStr">
        <is>
          <t>Backend</t>
        </is>
      </c>
      <c r="I6" s="20" t="inlineStr">
        <is>
          <t>Highest</t>
        </is>
      </c>
    </row>
    <row r="7" ht="30" customHeight="1">
      <c r="A7" s="20" t="inlineStr">
        <is>
          <t>2007</t>
        </is>
      </c>
      <c r="B7" s="20" t="inlineStr">
        <is>
          <t>Story</t>
        </is>
      </c>
      <c r="C7" s="23" t="inlineStr">
        <is>
          <t>Establish and prove the upstream merge routine</t>
        </is>
      </c>
      <c r="D7" s="22" t="inlineStr">
        <is>
          <t>In progress</t>
        </is>
      </c>
      <c r="E7" s="23" t="inlineStr">
        <is>
          <t>Rolled up from 2 children: 1 done, 1 to do.</t>
        </is>
      </c>
      <c r="F7" s="20" t="inlineStr">
        <is>
          <t>Phase 1 - Extraction</t>
        </is>
      </c>
      <c r="G7" s="20" t="inlineStr">
        <is>
          <t>Sprint 1</t>
        </is>
      </c>
      <c r="H7" s="20" t="inlineStr">
        <is>
          <t>Platform</t>
        </is>
      </c>
      <c r="I7" s="20" t="inlineStr">
        <is>
          <t>High</t>
        </is>
      </c>
    </row>
    <row r="8" ht="30" customHeight="1">
      <c r="A8" s="20" t="inlineStr">
        <is>
          <t>2014</t>
        </is>
      </c>
      <c r="B8" s="20" t="inlineStr">
        <is>
          <t>Story</t>
        </is>
      </c>
      <c r="C8" s="23" t="inlineStr">
        <is>
          <t>Take ownership of the workflow catalogue</t>
        </is>
      </c>
      <c r="D8" s="25" t="inlineStr">
        <is>
          <t>To do</t>
        </is>
      </c>
      <c r="E8" s="23" t="inlineStr">
        <is>
          <t>Rolled up from 2 children: 2 to do.</t>
        </is>
      </c>
      <c r="F8" s="20" t="inlineStr">
        <is>
          <t>Phase 1 - Extraction</t>
        </is>
      </c>
      <c r="G8" s="20" t="inlineStr">
        <is>
          <t>Sprint 1</t>
        </is>
      </c>
      <c r="H8" s="20" t="inlineStr">
        <is>
          <t>Backend</t>
        </is>
      </c>
      <c r="I8" s="20" t="inlineStr">
        <is>
          <t>High</t>
        </is>
      </c>
    </row>
    <row r="9" ht="30" customHeight="1">
      <c r="A9" s="20" t="inlineStr">
        <is>
          <t>2015</t>
        </is>
      </c>
      <c r="B9" s="20" t="inlineStr">
        <is>
          <t>Sub-task</t>
        </is>
      </c>
      <c r="C9" s="23" t="inlineStr">
        <is>
          <t>Fork mike-workflows and repoint the sync</t>
        </is>
      </c>
      <c r="D9" s="25" t="inlineStr">
        <is>
          <t>To do</t>
        </is>
      </c>
      <c r="E9" s="23" t="inlineStr">
        <is>
          <t>Inherited from parent 2014 (to do).</t>
        </is>
      </c>
      <c r="F9" s="20" t="inlineStr">
        <is>
          <t>Phase 1 - Extraction</t>
        </is>
      </c>
      <c r="G9" s="20" t="inlineStr">
        <is>
          <t>Sprint 1</t>
        </is>
      </c>
      <c r="H9" s="20" t="inlineStr">
        <is>
          <t>Backend</t>
        </is>
      </c>
      <c r="I9" s="20" t="inlineStr">
        <is>
          <t>High</t>
        </is>
      </c>
    </row>
    <row r="10" ht="30" customHeight="1">
      <c r="A10" s="20" t="inlineStr">
        <is>
          <t>2009</t>
        </is>
      </c>
      <c r="B10" s="20" t="inlineStr">
        <is>
          <t>Sub-task</t>
        </is>
      </c>
      <c r="C10" s="23" t="inlineStr">
        <is>
          <t>Run a first upstream merge as a dry run</t>
        </is>
      </c>
      <c r="D10" s="25" t="inlineStr">
        <is>
          <t>To do</t>
        </is>
      </c>
      <c r="E10" s="23" t="inlineStr">
        <is>
          <t>Never performed in this fork; the "upstream" merges in history are inherited. Value decays as the fork diverges.</t>
        </is>
      </c>
      <c r="F10" s="20" t="inlineStr">
        <is>
          <t>Phase 1 - Extraction</t>
        </is>
      </c>
      <c r="G10" s="20" t="inlineStr">
        <is>
          <t>Sprint 1</t>
        </is>
      </c>
      <c r="H10" s="20" t="inlineStr">
        <is>
          <t>Platform</t>
        </is>
      </c>
      <c r="I10" s="20" t="inlineStr">
        <is>
          <t>Medium</t>
        </is>
      </c>
    </row>
    <row r="11" ht="30" customHeight="1">
      <c r="A11" s="20" t="inlineStr">
        <is>
          <t>2016</t>
        </is>
      </c>
      <c r="B11" s="20" t="inlineStr">
        <is>
          <t>Sub-task</t>
        </is>
      </c>
      <c r="C11" s="23" t="inlineStr">
        <is>
          <t>Verify catalogue sync end to end</t>
        </is>
      </c>
      <c r="D11" s="25" t="inlineStr">
        <is>
          <t>To do</t>
        </is>
      </c>
      <c r="E11" s="23" t="inlineStr">
        <is>
          <t>Inherited from parent 2014 (to do).</t>
        </is>
      </c>
      <c r="F11" s="20" t="inlineStr">
        <is>
          <t>Phase 1 - Extraction</t>
        </is>
      </c>
      <c r="G11" s="20" t="inlineStr">
        <is>
          <t>Sprint 1</t>
        </is>
      </c>
      <c r="H11" s="20" t="inlineStr">
        <is>
          <t>Backend</t>
        </is>
      </c>
      <c r="I11" s="20" t="inlineStr">
        <is>
          <t>Medium</t>
        </is>
      </c>
    </row>
    <row r="12" ht="30" customHeight="1">
      <c r="A12" s="20" t="inlineStr">
        <is>
          <t>2017</t>
        </is>
      </c>
      <c r="B12" s="20" t="inlineStr">
        <is>
          <t>Epic</t>
        </is>
      </c>
      <c r="C12" s="21" t="inlineStr">
        <is>
          <t>CI/CD adaptation</t>
        </is>
      </c>
      <c r="D12" s="22" t="inlineStr">
        <is>
          <t>In progress</t>
        </is>
      </c>
      <c r="E12" s="23" t="inlineStr">
        <is>
          <t>Rolled up from 2 children: 1 done, 1 in progress.</t>
        </is>
      </c>
      <c r="F12" s="20" t="inlineStr">
        <is>
          <t>Phase 1 - Extraction</t>
        </is>
      </c>
      <c r="G12" s="20" t="inlineStr">
        <is>
          <t>Sprint 2</t>
        </is>
      </c>
      <c r="H12" s="20" t="inlineStr">
        <is>
          <t>Platform</t>
        </is>
      </c>
      <c r="I12" s="20" t="inlineStr">
        <is>
          <t>Highest</t>
        </is>
      </c>
    </row>
    <row r="13" ht="30" customHeight="1">
      <c r="A13" s="20" t="inlineStr">
        <is>
          <t>2018</t>
        </is>
      </c>
      <c r="B13" s="20" t="inlineStr">
        <is>
          <t>Story</t>
        </is>
      </c>
      <c r="C13" s="23" t="inlineStr">
        <is>
          <t>Port the inherited workflows to the private repo</t>
        </is>
      </c>
      <c r="D13" s="22" t="inlineStr">
        <is>
          <t>In progress</t>
        </is>
      </c>
      <c r="E13" s="23" t="inlineStr">
        <is>
          <t>Rolled up from 5 children: 3 done, 1 in progress, 1 won't do.</t>
        </is>
      </c>
      <c r="F13" s="20" t="inlineStr">
        <is>
          <t>Phase 1 - Extraction</t>
        </is>
      </c>
      <c r="G13" s="20" t="inlineStr">
        <is>
          <t>Sprint 2</t>
        </is>
      </c>
      <c r="H13" s="20" t="inlineStr">
        <is>
          <t>Platform</t>
        </is>
      </c>
      <c r="I13" s="20" t="inlineStr">
        <is>
          <t>Highest</t>
        </is>
      </c>
    </row>
    <row r="14" ht="30" customHeight="1">
      <c r="A14" s="20" t="inlineStr">
        <is>
          <t>2020</t>
        </is>
      </c>
      <c r="B14" s="20" t="inlineStr">
        <is>
          <t>Sub-task</t>
        </is>
      </c>
      <c r="C14" s="23" t="inlineStr">
        <is>
          <t>Configure Actions secrets and verify the e2e run</t>
        </is>
      </c>
      <c r="D14" s="22" t="inlineStr">
        <is>
          <t>In progress</t>
        </is>
      </c>
      <c r="E14" s="23" t="inlineStr">
        <is>
          <t>e2e green, but ANTHROPIC_API_KEY is unset so 4 LLM specs — including critical-path "ask a question" — skip every run. Established from the job env block.</t>
        </is>
      </c>
      <c r="F14" s="20" t="inlineStr">
        <is>
          <t>Phase 1 - Extraction</t>
        </is>
      </c>
      <c r="G14" s="20" t="inlineStr">
        <is>
          <t>Sprint 2</t>
        </is>
      </c>
      <c r="H14" s="20" t="inlineStr">
        <is>
          <t>Platform</t>
        </is>
      </c>
      <c r="I14" s="20" t="inlineStr">
        <is>
          <t>High</t>
        </is>
      </c>
    </row>
    <row r="15" ht="30" customHeight="1">
      <c r="A15" s="20" t="inlineStr">
        <is>
          <t>2037</t>
        </is>
      </c>
      <c r="B15" s="20" t="inlineStr">
        <is>
          <t>Epic</t>
        </is>
      </c>
      <c r="C15" s="21" t="inlineStr">
        <is>
          <t>Infrastructure foundation</t>
        </is>
      </c>
      <c r="D15" s="22" t="inlineStr">
        <is>
          <t>In progress</t>
        </is>
      </c>
      <c r="E15" s="23" t="inlineStr">
        <is>
          <t>Rolled up from 3 children: 1 done, 1 in progress, 1 superseded.</t>
        </is>
      </c>
      <c r="F15" s="20" t="inlineStr">
        <is>
          <t>Phase 2 - Infrastructure</t>
        </is>
      </c>
      <c r="G15" s="20" t="inlineStr">
        <is>
          <t>Sprint 3</t>
        </is>
      </c>
      <c r="H15" s="20" t="inlineStr">
        <is>
          <t>Infrastructure</t>
        </is>
      </c>
      <c r="I15" s="20" t="inlineStr">
        <is>
          <t>Highest</t>
        </is>
      </c>
    </row>
    <row r="16" ht="30" customHeight="1">
      <c r="A16" s="20" t="inlineStr">
        <is>
          <t>2042</t>
        </is>
      </c>
      <c r="B16" s="20" t="inlineStr">
        <is>
          <t>Story</t>
        </is>
      </c>
      <c r="C16" s="23" t="inlineStr">
        <is>
          <t>Provision object storage</t>
        </is>
      </c>
      <c r="D16" s="22" t="inlineStr">
        <is>
          <t>In progress</t>
        </is>
      </c>
      <c r="E16" s="23" t="inlineStr">
        <is>
          <t>Rolled up from 2 children: 1 done, 1 in progress.</t>
        </is>
      </c>
      <c r="F16" s="20" t="inlineStr">
        <is>
          <t>Phase 2 - Infrastructure</t>
        </is>
      </c>
      <c r="G16" s="20" t="inlineStr">
        <is>
          <t>Sprint 3</t>
        </is>
      </c>
      <c r="H16" s="20" t="inlineStr">
        <is>
          <t>Infrastructure</t>
        </is>
      </c>
      <c r="I16" s="20" t="inlineStr">
        <is>
          <t>Highest</t>
        </is>
      </c>
    </row>
    <row r="17" ht="30" customHeight="1">
      <c r="A17" s="20" t="inlineStr">
        <is>
          <t>2048</t>
        </is>
      </c>
      <c r="B17" s="20" t="inlineStr">
        <is>
          <t>Epic</t>
        </is>
      </c>
      <c r="C17" s="21" t="inlineStr">
        <is>
          <t>Deployment pipeline</t>
        </is>
      </c>
      <c r="D17" s="22" t="inlineStr">
        <is>
          <t>In progress</t>
        </is>
      </c>
      <c r="E17" s="23" t="inlineStr">
        <is>
          <t>Rolled up from 2 children: 1 done, 1 in progress.</t>
        </is>
      </c>
      <c r="F17" s="20" t="inlineStr">
        <is>
          <t>Phase 2 - Infrastructure</t>
        </is>
      </c>
      <c r="G17" s="20" t="inlineStr">
        <is>
          <t>Sprint 3</t>
        </is>
      </c>
      <c r="H17" s="20" t="inlineStr">
        <is>
          <t>Infrastructure</t>
        </is>
      </c>
      <c r="I17" s="20" t="inlineStr">
        <is>
          <t>Highest</t>
        </is>
      </c>
    </row>
    <row r="18" ht="30" customHeight="1">
      <c r="A18" s="20" t="inlineStr">
        <is>
          <t>2049</t>
        </is>
      </c>
      <c r="B18" s="20" t="inlineStr">
        <is>
          <t>Story</t>
        </is>
      </c>
      <c r="C18" s="23" t="inlineStr">
        <is>
          <t>Containerise and deploy the backend</t>
        </is>
      </c>
      <c r="D18" s="22" t="inlineStr">
        <is>
          <t>In progress</t>
        </is>
      </c>
      <c r="E18" s="23" t="inlineStr">
        <is>
          <t>Rolled up from 3 children: 2 done, 1 in progress.</t>
        </is>
      </c>
      <c r="F18" s="20" t="inlineStr">
        <is>
          <t>Phase 2 - Infrastructure</t>
        </is>
      </c>
      <c r="G18" s="20" t="inlineStr">
        <is>
          <t>Sprint 3</t>
        </is>
      </c>
      <c r="H18" s="20" t="inlineStr">
        <is>
          <t>Infrastructure</t>
        </is>
      </c>
      <c r="I18" s="20" t="inlineStr">
        <is>
          <t>Highest</t>
        </is>
      </c>
    </row>
    <row r="19" ht="30" customHeight="1">
      <c r="A19" s="20" t="inlineStr">
        <is>
          <t>2044</t>
        </is>
      </c>
      <c r="B19" s="20" t="inlineStr">
        <is>
          <t>Sub-task</t>
        </is>
      </c>
      <c r="C19" s="23" t="inlineStr">
        <is>
          <t>Verify the signed-URL round trip</t>
        </is>
      </c>
      <c r="D19" s="22" t="inlineStr">
        <is>
          <t>In progress</t>
        </is>
      </c>
      <c r="E19" s="23" t="inlineStr">
        <is>
          <t>Code half done and tested (storageRegion.ts). Live check needs the deployed stack.</t>
        </is>
      </c>
      <c r="F19" s="20" t="inlineStr">
        <is>
          <t>Phase 2 - Infrastructure</t>
        </is>
      </c>
      <c r="G19" s="20" t="inlineStr">
        <is>
          <t>Sprint 3</t>
        </is>
      </c>
      <c r="H19" s="20" t="inlineStr">
        <is>
          <t>Infrastructure</t>
        </is>
      </c>
      <c r="I19" s="20" t="inlineStr">
        <is>
          <t>High</t>
        </is>
      </c>
    </row>
    <row r="20" ht="30" customHeight="1">
      <c r="A20" s="20" t="inlineStr">
        <is>
          <t>2052</t>
        </is>
      </c>
      <c r="B20" s="20" t="inlineStr">
        <is>
          <t>Sub-task</t>
        </is>
      </c>
      <c r="C20" s="23" t="inlineStr">
        <is>
          <t>Add health checks, rollback and deploy gating</t>
        </is>
      </c>
      <c r="D20" s="22" t="inlineStr">
        <is>
          <t>In progress</t>
        </is>
      </c>
      <c r="E20" s="23" t="inlineStr">
        <is>
          <t>rollback.yml exists; test-by-rolling-back needs a working deployment.</t>
        </is>
      </c>
      <c r="F20" s="20" t="inlineStr">
        <is>
          <t>Phase 2 - Infrastructure</t>
        </is>
      </c>
      <c r="G20" s="20" t="inlineStr">
        <is>
          <t>Sprint 3</t>
        </is>
      </c>
      <c r="H20" s="20" t="inlineStr">
        <is>
          <t>Infrastructure</t>
        </is>
      </c>
      <c r="I20" s="20" t="inlineStr">
        <is>
          <t>High</t>
        </is>
      </c>
    </row>
    <row r="21" ht="30" customHeight="1">
      <c r="A21" s="20" t="inlineStr">
        <is>
          <t>2065</t>
        </is>
      </c>
      <c r="B21" s="20" t="inlineStr">
        <is>
          <t>Epic</t>
        </is>
      </c>
      <c r="C21" s="21" t="inlineStr">
        <is>
          <t>Integration with the Juralio platform</t>
        </is>
      </c>
      <c r="D21" s="22" t="inlineStr">
        <is>
          <t>In progress</t>
        </is>
      </c>
      <c r="E21" s="23" t="inlineStr">
        <is>
          <t>Rolled up from 2 children: 1 done, 1 deferred.</t>
        </is>
      </c>
      <c r="F21" s="20" t="inlineStr">
        <is>
          <t>Phase 2 - Infrastructure</t>
        </is>
      </c>
      <c r="G21" s="20" t="inlineStr">
        <is>
          <t>Sprint 4</t>
        </is>
      </c>
      <c r="H21" s="20" t="inlineStr">
        <is>
          <t>Integration</t>
        </is>
      </c>
      <c r="I21" s="20" t="inlineStr">
        <is>
          <t>Highest</t>
        </is>
      </c>
    </row>
    <row r="22" ht="30" customHeight="1">
      <c r="A22" s="20" t="inlineStr">
        <is>
          <t>2094</t>
        </is>
      </c>
      <c r="B22" s="20" t="inlineStr">
        <is>
          <t>Story</t>
        </is>
      </c>
      <c r="C22" s="23" t="inlineStr">
        <is>
          <t>Backup, restore and disaster recovery</t>
        </is>
      </c>
      <c r="D22" s="22" t="inlineStr">
        <is>
          <t>In progress</t>
        </is>
      </c>
      <c r="E22" s="23" t="inlineStr">
        <is>
          <t>Rolled up from 2 children: 1 done, 1 in progress.</t>
        </is>
      </c>
      <c r="F22" s="20" t="inlineStr">
        <is>
          <t>Phase 3 - Production Ready</t>
        </is>
      </c>
      <c r="G22" s="20" t="inlineStr">
        <is>
          <t>Sprint 6</t>
        </is>
      </c>
      <c r="H22" s="20" t="inlineStr">
        <is>
          <t>Infrastructure</t>
        </is>
      </c>
      <c r="I22" s="20" t="inlineStr">
        <is>
          <t>Highest</t>
        </is>
      </c>
    </row>
    <row r="23" ht="30" customHeight="1">
      <c r="A23" s="20" t="inlineStr">
        <is>
          <t>2095</t>
        </is>
      </c>
      <c r="B23" s="20" t="inlineStr">
        <is>
          <t>Sub-task</t>
        </is>
      </c>
      <c r="C23" s="23" t="inlineStr">
        <is>
          <t>Configure automated backups and prove a restore</t>
        </is>
      </c>
      <c r="D23" s="22" t="inlineStr">
        <is>
          <t>In progress</t>
        </is>
      </c>
      <c r="E23" s="23" t="inlineStr">
        <is>
          <t>From the delivery plan row that cites it.</t>
        </is>
      </c>
      <c r="F23" s="20" t="inlineStr">
        <is>
          <t>Phase 3 - Production Ready</t>
        </is>
      </c>
      <c r="G23" s="20" t="inlineStr">
        <is>
          <t>Sprint 6</t>
        </is>
      </c>
      <c r="H23" s="20" t="inlineStr">
        <is>
          <t>Infrastructure</t>
        </is>
      </c>
      <c r="I23" s="20" t="inlineStr">
        <is>
          <t>Highest</t>
        </is>
      </c>
    </row>
    <row r="24" ht="30" customHeight="1">
      <c r="A24" s="20" t="inlineStr">
        <is>
          <t>2100</t>
        </is>
      </c>
      <c r="B24" s="20" t="inlineStr">
        <is>
          <t>Epic</t>
        </is>
      </c>
      <c r="C24" s="21" t="inlineStr">
        <is>
          <t>Launch</t>
        </is>
      </c>
      <c r="D24" s="22" t="inlineStr">
        <is>
          <t>In progress</t>
        </is>
      </c>
      <c r="E24" s="23" t="inlineStr">
        <is>
          <t>Rolled up from 2 children: 2 in progress.</t>
        </is>
      </c>
      <c r="F24" s="20" t="inlineStr">
        <is>
          <t>Phase 3 - Production Ready</t>
        </is>
      </c>
      <c r="G24" s="20" t="inlineStr">
        <is>
          <t>Sprint 6</t>
        </is>
      </c>
      <c r="H24" s="20" t="inlineStr">
        <is>
          <t>Platform</t>
        </is>
      </c>
      <c r="I24" s="20" t="inlineStr">
        <is>
          <t>Highest</t>
        </is>
      </c>
    </row>
    <row r="25" ht="30" customHeight="1">
      <c r="A25" s="20" t="inlineStr">
        <is>
          <t>2101</t>
        </is>
      </c>
      <c r="B25" s="20" t="inlineStr">
        <is>
          <t>Story</t>
        </is>
      </c>
      <c r="C25" s="23" t="inlineStr">
        <is>
          <t>Pre-launch verification</t>
        </is>
      </c>
      <c r="D25" s="22" t="inlineStr">
        <is>
          <t>In progress</t>
        </is>
      </c>
      <c r="E25" s="23" t="inlineStr">
        <is>
          <t>Rolled up from 3 children: 2 in progress, 1 to do.</t>
        </is>
      </c>
      <c r="F25" s="20" t="inlineStr">
        <is>
          <t>Phase 3 - Production Ready</t>
        </is>
      </c>
      <c r="G25" s="20" t="inlineStr">
        <is>
          <t>Sprint 6</t>
        </is>
      </c>
      <c r="H25" s="20" t="inlineStr">
        <is>
          <t>Platform</t>
        </is>
      </c>
      <c r="I25" s="20" t="inlineStr">
        <is>
          <t>Highest</t>
        </is>
      </c>
    </row>
    <row r="26" ht="30" customHeight="1">
      <c r="A26" s="20" t="inlineStr">
        <is>
          <t>2102</t>
        </is>
      </c>
      <c r="B26" s="20" t="inlineStr">
        <is>
          <t>Sub-task</t>
        </is>
      </c>
      <c r="C26" s="23" t="inlineStr">
        <is>
          <t>Run the full suite against production configuration</t>
        </is>
      </c>
      <c r="D26" s="25" t="inlineStr">
        <is>
          <t>To do</t>
        </is>
      </c>
      <c r="E26" s="23" t="inlineStr">
        <is>
          <t>From the delivery plan row that cites it.</t>
        </is>
      </c>
      <c r="F26" s="20" t="inlineStr">
        <is>
          <t>Phase 3 - Production Ready</t>
        </is>
      </c>
      <c r="G26" s="20" t="inlineStr">
        <is>
          <t>Sprint 6</t>
        </is>
      </c>
      <c r="H26" s="20" t="inlineStr">
        <is>
          <t>Platform</t>
        </is>
      </c>
      <c r="I26" s="20" t="inlineStr">
        <is>
          <t>Highest</t>
        </is>
      </c>
    </row>
    <row r="27" ht="30" customHeight="1">
      <c r="A27" s="20" t="inlineStr">
        <is>
          <t>2103</t>
        </is>
      </c>
      <c r="B27" s="20" t="inlineStr">
        <is>
          <t>Sub-task</t>
        </is>
      </c>
      <c r="C27" s="23" t="inlineStr">
        <is>
          <t>Sign off the licence compliance checklist</t>
        </is>
      </c>
      <c r="D27" s="22" t="inlineStr">
        <is>
          <t>In progress</t>
        </is>
      </c>
      <c r="E27" s="23" t="inlineStr">
        <is>
          <t>From the delivery plan row that cites it.</t>
        </is>
      </c>
      <c r="F27" s="20" t="inlineStr">
        <is>
          <t>Phase 3 - Production Ready</t>
        </is>
      </c>
      <c r="G27" s="20" t="inlineStr">
        <is>
          <t>Sprint 6</t>
        </is>
      </c>
      <c r="H27" s="20" t="inlineStr">
        <is>
          <t>Platform</t>
        </is>
      </c>
      <c r="I27" s="20" t="inlineStr">
        <is>
          <t>Highest</t>
        </is>
      </c>
    </row>
    <row r="28" ht="30" customHeight="1">
      <c r="A28" s="20" t="inlineStr">
        <is>
          <t>2104</t>
        </is>
      </c>
      <c r="B28" s="20" t="inlineStr">
        <is>
          <t>Sub-task</t>
        </is>
      </c>
      <c r="C28" s="23" t="inlineStr">
        <is>
          <t>Security review of the combined deployment</t>
        </is>
      </c>
      <c r="D28" s="22" t="inlineStr">
        <is>
          <t>In progress</t>
        </is>
      </c>
      <c r="E28" s="23" t="inlineStr">
        <is>
          <t>This repository half done: 3 findings, all fixed. Juralio side and the seam from its end outstanding.</t>
        </is>
      </c>
      <c r="F28" s="20" t="inlineStr">
        <is>
          <t>Phase 3 - Production Ready</t>
        </is>
      </c>
      <c r="G28" s="20" t="inlineStr">
        <is>
          <t>Sprint 6</t>
        </is>
      </c>
      <c r="H28" s="20" t="inlineStr">
        <is>
          <t>Platform</t>
        </is>
      </c>
      <c r="I28" s="20" t="inlineStr">
        <is>
          <t>Highest</t>
        </is>
      </c>
    </row>
    <row r="29" ht="30" customHeight="1">
      <c r="A29" s="20" t="inlineStr">
        <is>
          <t>2105</t>
        </is>
      </c>
      <c r="B29" s="20" t="inlineStr">
        <is>
          <t>Story</t>
        </is>
      </c>
      <c r="C29" s="23" t="inlineStr">
        <is>
          <t>Go live</t>
        </is>
      </c>
      <c r="D29" s="22" t="inlineStr">
        <is>
          <t>In progress</t>
        </is>
      </c>
      <c r="E29" s="23" t="inlineStr">
        <is>
          <t>Rolled up from 2 children: 1 in progress, 1 to do.</t>
        </is>
      </c>
      <c r="F29" s="20" t="inlineStr">
        <is>
          <t>Phase 3 - Production Ready</t>
        </is>
      </c>
      <c r="G29" s="20" t="inlineStr">
        <is>
          <t>Sprint 6</t>
        </is>
      </c>
      <c r="H29" s="20" t="inlineStr">
        <is>
          <t>Platform</t>
        </is>
      </c>
      <c r="I29" s="20" t="inlineStr">
        <is>
          <t>Highest</t>
        </is>
      </c>
    </row>
    <row r="30" ht="30" customHeight="1">
      <c r="A30" s="20" t="inlineStr">
        <is>
          <t>2106</t>
        </is>
      </c>
      <c r="B30" s="20" t="inlineStr">
        <is>
          <t>Sub-task</t>
        </is>
      </c>
      <c r="C30" s="23" t="inlineStr">
        <is>
          <t>Production cutover and smoke test</t>
        </is>
      </c>
      <c r="D30" s="22" t="inlineStr">
        <is>
          <t>In progress</t>
        </is>
      </c>
      <c r="E30" s="23" t="inlineStr">
        <is>
          <t>As 2105.</t>
        </is>
      </c>
      <c r="F30" s="20" t="inlineStr">
        <is>
          <t>Phase 3 - Production Ready</t>
        </is>
      </c>
      <c r="G30" s="20" t="inlineStr">
        <is>
          <t>Sprint 6</t>
        </is>
      </c>
      <c r="H30" s="20" t="inlineStr">
        <is>
          <t>Platform</t>
        </is>
      </c>
      <c r="I30" s="20" t="inlineStr">
        <is>
          <t>Highest</t>
        </is>
      </c>
    </row>
    <row r="31" ht="30" customHeight="1">
      <c r="A31" s="20" t="inlineStr">
        <is>
          <t>2107</t>
        </is>
      </c>
      <c r="B31" s="20" t="inlineStr">
        <is>
          <t>Sub-task</t>
        </is>
      </c>
      <c r="C31" s="23" t="inlineStr">
        <is>
          <t>Post-launch monitoring window</t>
        </is>
      </c>
      <c r="D31" s="25" t="inlineStr">
        <is>
          <t>To do</t>
        </is>
      </c>
      <c r="E31" s="23" t="inlineStr">
        <is>
          <t>From the delivery plan row that cites it.</t>
        </is>
      </c>
      <c r="F31" s="20" t="inlineStr">
        <is>
          <t>Phase 3 - Production Ready</t>
        </is>
      </c>
      <c r="G31" s="20" t="inlineStr">
        <is>
          <t>Sprint 6</t>
        </is>
      </c>
      <c r="H31" s="20" t="inlineStr">
        <is>
          <t>Platform</t>
        </is>
      </c>
      <c r="I31" s="20" t="inlineStr">
        <is>
          <t>Highest</t>
        </is>
      </c>
    </row>
    <row r="32" ht="30" customHeight="1">
      <c r="A32" s="20" t="inlineStr">
        <is>
          <t>2093</t>
        </is>
      </c>
      <c r="B32" s="20" t="inlineStr">
        <is>
          <t>Epic</t>
        </is>
      </c>
      <c r="C32" s="21" t="inlineStr">
        <is>
          <t>Operational readiness</t>
        </is>
      </c>
      <c r="D32" s="22" t="inlineStr">
        <is>
          <t>In progress</t>
        </is>
      </c>
      <c r="E32" s="23" t="inlineStr">
        <is>
          <t>Rolled up from 2 children: 2 in progress.</t>
        </is>
      </c>
      <c r="F32" s="20" t="inlineStr">
        <is>
          <t>Phase 3 - Production Ready</t>
        </is>
      </c>
      <c r="G32" s="20" t="inlineStr">
        <is>
          <t>Sprint 6</t>
        </is>
      </c>
      <c r="H32" s="20" t="inlineStr">
        <is>
          <t>Infrastructure</t>
        </is>
      </c>
      <c r="I32" s="20" t="inlineStr">
        <is>
          <t>High</t>
        </is>
      </c>
    </row>
    <row r="33" ht="30" customHeight="1">
      <c r="A33" s="20" t="inlineStr">
        <is>
          <t>2097</t>
        </is>
      </c>
      <c r="B33" s="20" t="inlineStr">
        <is>
          <t>Story</t>
        </is>
      </c>
      <c r="C33" s="23" t="inlineStr">
        <is>
          <t>Performance and resilience</t>
        </is>
      </c>
      <c r="D33" s="22" t="inlineStr">
        <is>
          <t>In progress</t>
        </is>
      </c>
      <c r="E33" s="23" t="inlineStr">
        <is>
          <t>Rolled up from 2 children: 1 in progress, 1 to do.</t>
        </is>
      </c>
      <c r="F33" s="20" t="inlineStr">
        <is>
          <t>Phase 3 - Production Ready</t>
        </is>
      </c>
      <c r="G33" s="20" t="inlineStr">
        <is>
          <t>Sprint 6</t>
        </is>
      </c>
      <c r="H33" s="20" t="inlineStr">
        <is>
          <t>Backend</t>
        </is>
      </c>
      <c r="I33" s="20" t="inlineStr">
        <is>
          <t>Medium</t>
        </is>
      </c>
    </row>
    <row r="34" ht="30" customHeight="1">
      <c r="A34" s="20" t="inlineStr">
        <is>
          <t>2098</t>
        </is>
      </c>
      <c r="B34" s="20" t="inlineStr">
        <is>
          <t>Sub-task</t>
        </is>
      </c>
      <c r="C34" s="23" t="inlineStr">
        <is>
          <t>Run the k6 SSE load scenario against staging</t>
        </is>
      </c>
      <c r="D34" s="22" t="inlineStr">
        <is>
          <t>In progress</t>
        </is>
      </c>
      <c r="E34" s="23" t="inlineStr">
        <is>
          <t>As 2097.</t>
        </is>
      </c>
      <c r="F34" s="20" t="inlineStr">
        <is>
          <t>Phase 3 - Production Ready</t>
        </is>
      </c>
      <c r="G34" s="20" t="inlineStr">
        <is>
          <t>Sprint 6</t>
        </is>
      </c>
      <c r="H34" s="20" t="inlineStr">
        <is>
          <t>Backend</t>
        </is>
      </c>
      <c r="I34" s="20" t="inlineStr">
        <is>
          <t>Medium</t>
        </is>
      </c>
    </row>
    <row r="35" ht="30" customHeight="1">
      <c r="A35" s="20" t="inlineStr">
        <is>
          <t>2099</t>
        </is>
      </c>
      <c r="B35" s="20" t="inlineStr">
        <is>
          <t>Sub-task</t>
        </is>
      </c>
      <c r="C35" s="23" t="inlineStr">
        <is>
          <t>Address what the load test surfaces</t>
        </is>
      </c>
      <c r="D35" s="25" t="inlineStr">
        <is>
          <t>To do</t>
        </is>
      </c>
      <c r="E35" s="23" t="inlineStr">
        <is>
          <t>From the delivery plan row that cites it.</t>
        </is>
      </c>
      <c r="F35" s="20" t="inlineStr">
        <is>
          <t>Phase 3 - Production Ready</t>
        </is>
      </c>
      <c r="G35" s="20" t="inlineStr">
        <is>
          <t>Sprint 6</t>
        </is>
      </c>
      <c r="H35" s="20" t="inlineStr">
        <is>
          <t>Backend</t>
        </is>
      </c>
      <c r="I35" s="20" t="inlineStr">
        <is>
          <t>Medium</t>
        </is>
      </c>
    </row>
    <row r="36" ht="30" customHeight="1">
      <c r="A36" s="20" t="inlineStr">
        <is>
          <t>2110</t>
        </is>
      </c>
      <c r="B36" s="20" t="inlineStr">
        <is>
          <t>Epic</t>
        </is>
      </c>
      <c r="C36" s="21" t="inlineStr">
        <is>
          <t>Run the platform services on AWS instead of Supabase</t>
        </is>
      </c>
      <c r="D36" s="22" t="inlineStr">
        <is>
          <t>In progress</t>
        </is>
      </c>
      <c r="E36" s="23" t="inlineStr">
        <is>
          <t>Rolled up from 6 children: 4 in progress, 2 to do.</t>
        </is>
      </c>
      <c r="F36" s="20" t="inlineStr">
        <is>
          <t>Phase 4 - Self-hosted platform</t>
        </is>
      </c>
      <c r="G36" s="20" t="inlineStr">
        <is>
          <t>Sprint 7</t>
        </is>
      </c>
      <c r="H36" s="20" t="inlineStr">
        <is>
          <t>Infrastructure</t>
        </is>
      </c>
      <c r="I36" s="20" t="inlineStr">
        <is>
          <t>Highest</t>
        </is>
      </c>
    </row>
    <row r="37" ht="30" customHeight="1">
      <c r="A37" s="20" t="inlineStr">
        <is>
          <t>2111</t>
        </is>
      </c>
      <c r="B37" s="20" t="inlineStr">
        <is>
          <t>Story</t>
        </is>
      </c>
      <c r="C37" s="23" t="inlineStr">
        <is>
          <t>Postgres on RDS</t>
        </is>
      </c>
      <c r="D37" s="22" t="inlineStr">
        <is>
          <t>In progress</t>
        </is>
      </c>
      <c r="E37" s="23" t="inlineStr">
        <is>
          <t>Rolled up from 2 children: 1 done, 1 to do.</t>
        </is>
      </c>
      <c r="F37" s="20" t="inlineStr">
        <is>
          <t>Phase 4 - Self-hosted platform</t>
        </is>
      </c>
      <c r="G37" s="20" t="inlineStr">
        <is>
          <t>Sprint 7</t>
        </is>
      </c>
      <c r="H37" s="20" t="inlineStr">
        <is>
          <t>Infrastructure</t>
        </is>
      </c>
      <c r="I37" s="20" t="inlineStr">
        <is>
          <t>Highest</t>
        </is>
      </c>
    </row>
    <row r="38" ht="30" customHeight="1">
      <c r="A38" s="20" t="inlineStr">
        <is>
          <t>2113</t>
        </is>
      </c>
      <c r="B38" s="20" t="inlineStr">
        <is>
          <t>Sub-task</t>
        </is>
      </c>
      <c r="C38" s="23" t="inlineStr">
        <is>
          <t>Dump and restore, including the auth schema</t>
        </is>
      </c>
      <c r="D38" s="25" t="inlineStr">
        <is>
          <t>To do</t>
        </is>
      </c>
      <c r="E38" s="23" t="inlineStr">
        <is>
          <t>Stage 5, added 17 September 2026.</t>
        </is>
      </c>
      <c r="F38" s="20" t="inlineStr">
        <is>
          <t>Phase 4 - Self-hosted platform</t>
        </is>
      </c>
      <c r="G38" s="20" t="inlineStr">
        <is>
          <t>Sprint 7</t>
        </is>
      </c>
      <c r="H38" s="20" t="inlineStr">
        <is>
          <t>Backend</t>
        </is>
      </c>
      <c r="I38" s="20" t="inlineStr">
        <is>
          <t>Highest</t>
        </is>
      </c>
    </row>
    <row r="39" ht="30" customHeight="1">
      <c r="A39" s="20" t="inlineStr">
        <is>
          <t>2114</t>
        </is>
      </c>
      <c r="B39" s="20" t="inlineStr">
        <is>
          <t>Story</t>
        </is>
      </c>
      <c r="C39" s="23" t="inlineStr">
        <is>
          <t>PostgREST as an ECS service</t>
        </is>
      </c>
      <c r="D39" s="22" t="inlineStr">
        <is>
          <t>In progress</t>
        </is>
      </c>
      <c r="E39" s="23" t="inlineStr">
        <is>
          <t>Rolled up from 1 child: 1 done. Closes when the backend's queries succeed against the self-hosted endpoint after cutover.</t>
        </is>
      </c>
      <c r="F39" s="20" t="inlineStr">
        <is>
          <t>Phase 4 - Self-hosted platform</t>
        </is>
      </c>
      <c r="G39" s="20" t="inlineStr">
        <is>
          <t>Sprint 7</t>
        </is>
      </c>
      <c r="H39" s="20" t="inlineStr">
        <is>
          <t>Infrastructure</t>
        </is>
      </c>
      <c r="I39" s="20" t="inlineStr">
        <is>
          <t>Highest</t>
        </is>
      </c>
    </row>
    <row r="40" ht="30" customHeight="1">
      <c r="A40" s="20" t="inlineStr">
        <is>
          <t>2116</t>
        </is>
      </c>
      <c r="B40" s="20" t="inlineStr">
        <is>
          <t>Story</t>
        </is>
      </c>
      <c r="C40" s="23" t="inlineStr">
        <is>
          <t>GoTrue as an ECS service</t>
        </is>
      </c>
      <c r="D40" s="22" t="inlineStr">
        <is>
          <t>In progress</t>
        </is>
      </c>
      <c r="E40" s="23" t="inlineStr">
        <is>
          <t>Rolled up from 3 children: 1 done, 2 in progress.</t>
        </is>
      </c>
      <c r="F40" s="20" t="inlineStr">
        <is>
          <t>Phase 4 - Self-hosted platform</t>
        </is>
      </c>
      <c r="G40" s="20" t="inlineStr">
        <is>
          <t>Sprint 7</t>
        </is>
      </c>
      <c r="H40" s="20" t="inlineStr">
        <is>
          <t>Infrastructure</t>
        </is>
      </c>
      <c r="I40" s="20" t="inlineStr">
        <is>
          <t>Highest</t>
        </is>
      </c>
    </row>
    <row r="41" ht="30" customHeight="1">
      <c r="A41" s="20" t="inlineStr">
        <is>
          <t>2120</t>
        </is>
      </c>
      <c r="B41" s="20" t="inlineStr">
        <is>
          <t>Story</t>
        </is>
      </c>
      <c r="C41" s="23" t="inlineStr">
        <is>
          <t>Own the JWT secret and the API keys</t>
        </is>
      </c>
      <c r="D41" s="22" t="inlineStr">
        <is>
          <t>In progress</t>
        </is>
      </c>
      <c r="E41" s="23" t="inlineStr">
        <is>
          <t>Rolled up from 1 child: 1 done. Closes when the runbook has been walked once against the applied footprint.</t>
        </is>
      </c>
      <c r="F41" s="20" t="inlineStr">
        <is>
          <t>Phase 4 - Self-hosted platform</t>
        </is>
      </c>
      <c r="G41" s="20" t="inlineStr">
        <is>
          <t>Sprint 7</t>
        </is>
      </c>
      <c r="H41" s="20" t="inlineStr">
        <is>
          <t>Infrastructure</t>
        </is>
      </c>
      <c r="I41" s="20" t="inlineStr">
        <is>
          <t>Highest</t>
        </is>
      </c>
    </row>
    <row r="42" ht="30" customHeight="1">
      <c r="A42" s="20" t="inlineStr">
        <is>
          <t>2122</t>
        </is>
      </c>
      <c r="B42" s="20" t="inlineStr">
        <is>
          <t>Story</t>
        </is>
      </c>
      <c r="C42" s="23" t="inlineStr">
        <is>
          <t>Routing and configuration cutover</t>
        </is>
      </c>
      <c r="D42" s="25" t="inlineStr">
        <is>
          <t>To do</t>
        </is>
      </c>
      <c r="E42" s="23" t="inlineStr">
        <is>
          <t>Rolled up from 1 child: 1 to do.</t>
        </is>
      </c>
      <c r="F42" s="20" t="inlineStr">
        <is>
          <t>Phase 4 - Self-hosted platform</t>
        </is>
      </c>
      <c r="G42" s="20" t="inlineStr">
        <is>
          <t>Sprint 7</t>
        </is>
      </c>
      <c r="H42" s="20" t="inlineStr">
        <is>
          <t>Infrastructure</t>
        </is>
      </c>
      <c r="I42" s="20" t="inlineStr">
        <is>
          <t>Highest</t>
        </is>
      </c>
    </row>
    <row r="43" ht="30" customHeight="1">
      <c r="A43" s="20" t="inlineStr">
        <is>
          <t>2125</t>
        </is>
      </c>
      <c r="B43" s="20" t="inlineStr">
        <is>
          <t>Sub-task</t>
        </is>
      </c>
      <c r="C43" s="23" t="inlineStr">
        <is>
          <t>Rehearse the cutover and the rollback</t>
        </is>
      </c>
      <c r="D43" s="25" t="inlineStr">
        <is>
          <t>To do</t>
        </is>
      </c>
      <c r="E43" s="23" t="inlineStr">
        <is>
          <t>Stage 5, added 17 September 2026.</t>
        </is>
      </c>
      <c r="F43" s="20" t="inlineStr">
        <is>
          <t>Phase 4 - Self-hosted platform</t>
        </is>
      </c>
      <c r="G43" s="20" t="inlineStr">
        <is>
          <t>Sprint 7</t>
        </is>
      </c>
      <c r="H43" s="20" t="inlineStr">
        <is>
          <t>Infrastructure</t>
        </is>
      </c>
      <c r="I43" s="20" t="inlineStr">
        <is>
          <t>Highest</t>
        </is>
      </c>
    </row>
    <row r="44" ht="30" customHeight="1">
      <c r="A44" s="20" t="inlineStr">
        <is>
          <t>2118</t>
        </is>
      </c>
      <c r="B44" s="20" t="inlineStr">
        <is>
          <t>Sub-task</t>
        </is>
      </c>
      <c r="C44" s="23" t="inlineStr">
        <is>
          <t>Auth email through SES</t>
        </is>
      </c>
      <c r="D44" s="22" t="inlineStr">
        <is>
          <t>In progress</t>
        </is>
      </c>
      <c r="E44" s="23" t="inlineStr">
        <is>
          <t>Wired to the email module's SES credential (plan row 5.5); the deliverability check needs the running service.</t>
        </is>
      </c>
      <c r="F44" s="20" t="inlineStr">
        <is>
          <t>Phase 4 - Self-hosted platform</t>
        </is>
      </c>
      <c r="G44" s="20" t="inlineStr">
        <is>
          <t>Sprint 7</t>
        </is>
      </c>
      <c r="H44" s="20" t="inlineStr">
        <is>
          <t>Infrastructure</t>
        </is>
      </c>
      <c r="I44" s="20" t="inlineStr">
        <is>
          <t>High</t>
        </is>
      </c>
    </row>
    <row r="45" ht="30" customHeight="1">
      <c r="A45" s="20" t="inlineStr">
        <is>
          <t>2119</t>
        </is>
      </c>
      <c r="B45" s="20" t="inlineStr">
        <is>
          <t>Sub-task</t>
        </is>
      </c>
      <c r="C45" s="23" t="inlineStr">
        <is>
          <t>Carry the Google OAuth provider across</t>
        </is>
      </c>
      <c r="D45" s="22" t="inlineStr">
        <is>
          <t>In progress</t>
        </is>
      </c>
      <c r="E45" s="23" t="inlineStr">
        <is>
          <t>Provider, secret container and redirect URI in place (plan row 5.6); the operator adds the URI and writes the client (Stage 5, Task 3).</t>
        </is>
      </c>
      <c r="F45" s="20" t="inlineStr">
        <is>
          <t>Phase 4 - Self-hosted platform</t>
        </is>
      </c>
      <c r="G45" s="20" t="inlineStr">
        <is>
          <t>Sprint 7</t>
        </is>
      </c>
      <c r="H45" s="20" t="inlineStr">
        <is>
          <t>Infrastructure</t>
        </is>
      </c>
      <c r="I45" s="20" t="inlineStr">
        <is>
          <t>High</t>
        </is>
      </c>
    </row>
    <row r="46" ht="30" customHeight="1">
      <c r="A46" s="20" t="inlineStr">
        <is>
          <t>2123</t>
        </is>
      </c>
      <c r="B46" s="20" t="inlineStr">
        <is>
          <t>Sub-task</t>
        </is>
      </c>
      <c r="C46" s="23" t="inlineStr">
        <is>
          <t>Expose auth and REST through the load balancer</t>
        </is>
      </c>
      <c r="D46" s="25" t="inlineStr">
        <is>
          <t>To do</t>
        </is>
      </c>
      <c r="E46" s="23" t="inlineStr">
        <is>
          <t>Stage 5, added 17 September 2026.</t>
        </is>
      </c>
      <c r="F46" s="20" t="inlineStr">
        <is>
          <t>Phase 4 - Self-hosted platform</t>
        </is>
      </c>
      <c r="G46" s="20" t="inlineStr">
        <is>
          <t>Sprint 7</t>
        </is>
      </c>
      <c r="H46" s="20" t="inlineStr">
        <is>
          <t>Infrastructure</t>
        </is>
      </c>
      <c r="I46" s="20" t="inlineStr">
        <is>
          <t>High</t>
        </is>
      </c>
    </row>
    <row r="47" ht="30" customHeight="1">
      <c r="A47" s="20" t="inlineStr">
        <is>
          <t>2124</t>
        </is>
      </c>
      <c r="B47" s="20" t="inlineStr">
        <is>
          <t>Story</t>
        </is>
      </c>
      <c r="C47" s="23" t="inlineStr">
        <is>
          <t>Cutover and decommission</t>
        </is>
      </c>
      <c r="D47" s="25" t="inlineStr">
        <is>
          <t>To do</t>
        </is>
      </c>
      <c r="E47" s="23" t="inlineStr">
        <is>
          <t>Rolled up from 2 children: 2 to do.</t>
        </is>
      </c>
      <c r="F47" s="20" t="inlineStr">
        <is>
          <t>Phase 4 - Self-hosted platform</t>
        </is>
      </c>
      <c r="G47" s="20" t="inlineStr">
        <is>
          <t>Sprint 7</t>
        </is>
      </c>
      <c r="H47" s="20" t="inlineStr">
        <is>
          <t>Platform</t>
        </is>
      </c>
      <c r="I47" s="20" t="inlineStr">
        <is>
          <t>High</t>
        </is>
      </c>
    </row>
    <row r="48" ht="30" customHeight="1">
      <c r="A48" s="20" t="inlineStr">
        <is>
          <t>2126</t>
        </is>
      </c>
      <c r="B48" s="20" t="inlineStr">
        <is>
          <t>Sub-task</t>
        </is>
      </c>
      <c r="C48" s="23" t="inlineStr">
        <is>
          <t>Update the documentation</t>
        </is>
      </c>
      <c r="D48" s="25" t="inlineStr">
        <is>
          <t>To do</t>
        </is>
      </c>
      <c r="E48" s="23" t="inlineStr">
        <is>
          <t>Stage 5, added 17 September 2026.</t>
        </is>
      </c>
      <c r="F48" s="20" t="inlineStr">
        <is>
          <t>Phase 4 - Self-hosted platform</t>
        </is>
      </c>
      <c r="G48" s="20" t="inlineStr">
        <is>
          <t>Sprint 7</t>
        </is>
      </c>
      <c r="H48" s="20" t="inlineStr">
        <is>
          <t>Platform</t>
        </is>
      </c>
      <c r="I48" s="20" t="inlineStr">
        <is>
          <t>Medium</t>
        </is>
      </c>
    </row>
    <row r="50">
      <c r="A50" s="6" t="inlineStr">
        <is>
          <t>Open tickets</t>
        </is>
      </c>
      <c r="B50" s="7">
        <f>COUNTIF(Tickets!$E$2:$E$125,"In progress")+COUNTIF(Tickets!$E$2:$E$125,"To do")</f>
        <v/>
      </c>
    </row>
    <row r="51">
      <c r="A51" s="2" t="inlineStr">
        <is>
          <t>The rows are a snapshot; the count beside them is live from the Tickets sheet.</t>
        </is>
      </c>
    </row>
  </sheetData>
  <autoFilter ref="A4:I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2026-09-17T10:29:20Z</dcterms:created>
  <dcterms:modified xsi:type="dcterms:W3CDTF">2026-09-17T10:29:20Z</dcterms:modified>
</cp:coreProperties>
</file>